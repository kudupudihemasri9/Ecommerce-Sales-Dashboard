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ink/ink1.xml" ContentType="application/inkml+xml"/>
  <Override PartName="/xl/ink/ink2.xml" ContentType="application/inkml+xml"/>
  <Override PartName="/xl/ink/ink3.xml" ContentType="application/inkml+xml"/>
  <Override PartName="/xl/ink/ink4.xml" ContentType="application/inkml+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anush\OneDrive\Documents\certificates_hemasri\"/>
    </mc:Choice>
  </mc:AlternateContent>
  <xr:revisionPtr revIDLastSave="0" documentId="13_ncr:1_{C50E91A6-89DC-4F6F-A425-2A25B3601F55}" xr6:coauthVersionLast="47" xr6:coauthVersionMax="47" xr10:uidLastSave="{00000000-0000-0000-0000-000000000000}"/>
  <bookViews>
    <workbookView xWindow="-108" yWindow="-108" windowWidth="23256" windowHeight="12456" xr2:uid="{346724B3-1C49-40AE-AA36-C77CF5D6DD09}"/>
  </bookViews>
  <sheets>
    <sheet name="Dashboard" sheetId="7" r:id="rId1"/>
    <sheet name="pivots1" sheetId="5" r:id="rId2"/>
    <sheet name="pivots2" sheetId="9" r:id="rId3"/>
    <sheet name="pivots3" sheetId="18" r:id="rId4"/>
    <sheet name="Raw data" sheetId="1" r:id="rId5"/>
  </sheets>
  <definedNames>
    <definedName name="_xlchart.v5.0" hidden="1">pivots1!$G$69:$H$69</definedName>
    <definedName name="_xlchart.v5.1" hidden="1">pivots1!$G$70:$H$127</definedName>
    <definedName name="_xlchart.v5.2" hidden="1">pivots1!$I$69</definedName>
    <definedName name="_xlchart.v5.3" hidden="1">pivots1!$I$70:$I$127</definedName>
    <definedName name="_xlchart.v5.4" hidden="1">pivots1!$L$69:$M$69</definedName>
    <definedName name="_xlchart.v5.5" hidden="1">pivots1!$L$70:$M$128</definedName>
    <definedName name="_xlchart.v5.6" hidden="1">pivots1!$N$69</definedName>
    <definedName name="_xlchart.v5.7" hidden="1">pivots1!$N$70:$N$128</definedName>
    <definedName name="Slicer_Gender_Value">#N/A</definedName>
    <definedName name="Slicer_Order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71" i="5" l="1"/>
  <c r="M71" i="5"/>
  <c r="N71" i="5"/>
  <c r="L72" i="5"/>
  <c r="M72" i="5"/>
  <c r="N72" i="5"/>
  <c r="L73" i="5"/>
  <c r="M73" i="5"/>
  <c r="N73" i="5"/>
  <c r="L74" i="5"/>
  <c r="M74" i="5"/>
  <c r="N74" i="5"/>
  <c r="L75" i="5"/>
  <c r="M75" i="5"/>
  <c r="N75" i="5"/>
  <c r="L76" i="5"/>
  <c r="M76" i="5"/>
  <c r="N76" i="5"/>
  <c r="L77" i="5"/>
  <c r="M77" i="5"/>
  <c r="N77" i="5"/>
  <c r="L78" i="5"/>
  <c r="M78" i="5"/>
  <c r="N78" i="5"/>
  <c r="L79" i="5"/>
  <c r="M79" i="5"/>
  <c r="N79" i="5"/>
  <c r="L80" i="5"/>
  <c r="M80" i="5"/>
  <c r="N80" i="5"/>
  <c r="L81" i="5"/>
  <c r="M81" i="5"/>
  <c r="N81" i="5"/>
  <c r="L82" i="5"/>
  <c r="M82" i="5"/>
  <c r="N82" i="5"/>
  <c r="L83" i="5"/>
  <c r="M83" i="5"/>
  <c r="N83" i="5"/>
  <c r="L84" i="5"/>
  <c r="M84" i="5"/>
  <c r="N84" i="5"/>
  <c r="L85" i="5"/>
  <c r="M85" i="5"/>
  <c r="N85" i="5"/>
  <c r="L86" i="5"/>
  <c r="M86" i="5"/>
  <c r="N86" i="5"/>
  <c r="L87" i="5"/>
  <c r="M87" i="5"/>
  <c r="N87" i="5"/>
  <c r="L88" i="5"/>
  <c r="M88" i="5"/>
  <c r="N88" i="5"/>
  <c r="L89" i="5"/>
  <c r="M89" i="5"/>
  <c r="N89" i="5"/>
  <c r="L90" i="5"/>
  <c r="M90" i="5"/>
  <c r="N90" i="5"/>
  <c r="L91" i="5"/>
  <c r="M91" i="5"/>
  <c r="N91" i="5"/>
  <c r="L92" i="5"/>
  <c r="M92" i="5"/>
  <c r="N92" i="5"/>
  <c r="L93" i="5"/>
  <c r="M93" i="5"/>
  <c r="N93" i="5"/>
  <c r="L94" i="5"/>
  <c r="M94" i="5"/>
  <c r="N94" i="5"/>
  <c r="L95" i="5"/>
  <c r="M95" i="5"/>
  <c r="N95" i="5"/>
  <c r="L96" i="5"/>
  <c r="M96" i="5"/>
  <c r="N96" i="5"/>
  <c r="L97" i="5"/>
  <c r="M97" i="5"/>
  <c r="N97" i="5"/>
  <c r="L98" i="5"/>
  <c r="M98" i="5"/>
  <c r="N98" i="5"/>
  <c r="L99" i="5"/>
  <c r="M99" i="5"/>
  <c r="N99" i="5"/>
  <c r="L100" i="5"/>
  <c r="M100" i="5"/>
  <c r="N100" i="5"/>
  <c r="L101" i="5"/>
  <c r="M101" i="5"/>
  <c r="N101" i="5"/>
  <c r="L102" i="5"/>
  <c r="M102" i="5"/>
  <c r="N102" i="5"/>
  <c r="L103" i="5"/>
  <c r="M103" i="5"/>
  <c r="N103" i="5"/>
  <c r="L104" i="5"/>
  <c r="M104" i="5"/>
  <c r="N104" i="5"/>
  <c r="L105" i="5"/>
  <c r="M105" i="5"/>
  <c r="N105" i="5"/>
  <c r="L106" i="5"/>
  <c r="M106" i="5"/>
  <c r="N106" i="5"/>
  <c r="L107" i="5"/>
  <c r="M107" i="5"/>
  <c r="N107" i="5"/>
  <c r="L108" i="5"/>
  <c r="M108" i="5"/>
  <c r="N108" i="5"/>
  <c r="L109" i="5"/>
  <c r="M109" i="5"/>
  <c r="N109" i="5"/>
  <c r="L110" i="5"/>
  <c r="M110" i="5"/>
  <c r="N110" i="5"/>
  <c r="L111" i="5"/>
  <c r="M111" i="5"/>
  <c r="N111" i="5"/>
  <c r="L112" i="5"/>
  <c r="M112" i="5"/>
  <c r="N112" i="5"/>
  <c r="L113" i="5"/>
  <c r="M113" i="5"/>
  <c r="N113" i="5"/>
  <c r="L114" i="5"/>
  <c r="M114" i="5"/>
  <c r="N114" i="5"/>
  <c r="L115" i="5"/>
  <c r="M115" i="5"/>
  <c r="N115" i="5"/>
  <c r="L116" i="5"/>
  <c r="M116" i="5"/>
  <c r="N116" i="5"/>
  <c r="L117" i="5"/>
  <c r="M117" i="5"/>
  <c r="N117" i="5"/>
  <c r="L118" i="5"/>
  <c r="M118" i="5"/>
  <c r="N118" i="5"/>
  <c r="L119" i="5"/>
  <c r="M119" i="5"/>
  <c r="N119" i="5"/>
  <c r="L120" i="5"/>
  <c r="M120" i="5"/>
  <c r="N120" i="5"/>
  <c r="L121" i="5"/>
  <c r="M121" i="5"/>
  <c r="N121" i="5"/>
  <c r="L122" i="5"/>
  <c r="M122" i="5"/>
  <c r="N122" i="5"/>
  <c r="L123" i="5"/>
  <c r="M123" i="5"/>
  <c r="N123" i="5"/>
  <c r="L124" i="5"/>
  <c r="M124" i="5"/>
  <c r="N124" i="5"/>
  <c r="L125" i="5"/>
  <c r="M125" i="5"/>
  <c r="N125" i="5"/>
  <c r="L126" i="5"/>
  <c r="M126" i="5"/>
  <c r="N126" i="5"/>
  <c r="L127" i="5"/>
  <c r="M127" i="5"/>
  <c r="N127" i="5"/>
  <c r="L128" i="5"/>
  <c r="M128" i="5"/>
  <c r="N128" i="5"/>
  <c r="L129" i="5"/>
  <c r="M129" i="5"/>
  <c r="N129" i="5"/>
  <c r="L130" i="5"/>
  <c r="M130" i="5"/>
  <c r="N130" i="5"/>
  <c r="L131" i="5"/>
  <c r="M131" i="5"/>
  <c r="N131" i="5"/>
  <c r="L132" i="5"/>
  <c r="M132" i="5"/>
  <c r="N132" i="5"/>
  <c r="L133" i="5"/>
  <c r="M133" i="5"/>
  <c r="N133" i="5"/>
  <c r="L134" i="5"/>
  <c r="M134" i="5"/>
  <c r="N134" i="5"/>
  <c r="L135" i="5"/>
  <c r="M135" i="5"/>
  <c r="N135" i="5"/>
  <c r="L136" i="5"/>
  <c r="M136" i="5"/>
  <c r="N136" i="5"/>
  <c r="L137" i="5"/>
  <c r="M137" i="5"/>
  <c r="N137" i="5"/>
  <c r="L138" i="5"/>
  <c r="M138" i="5"/>
  <c r="N138" i="5"/>
  <c r="L139" i="5"/>
  <c r="M139" i="5"/>
  <c r="N139" i="5"/>
  <c r="L140" i="5"/>
  <c r="M140" i="5"/>
  <c r="N140" i="5"/>
  <c r="L141" i="5"/>
  <c r="M141" i="5"/>
  <c r="N141" i="5"/>
  <c r="L142" i="5"/>
  <c r="M142" i="5"/>
  <c r="N142" i="5"/>
  <c r="L143" i="5"/>
  <c r="M143" i="5"/>
  <c r="N143" i="5"/>
  <c r="L144" i="5"/>
  <c r="M144" i="5"/>
  <c r="N144" i="5"/>
  <c r="L145" i="5"/>
  <c r="M145" i="5"/>
  <c r="N145" i="5"/>
  <c r="L146" i="5"/>
  <c r="M146" i="5"/>
  <c r="N146" i="5"/>
  <c r="L147" i="5"/>
  <c r="M147" i="5"/>
  <c r="N147" i="5"/>
  <c r="L148" i="5"/>
  <c r="M148" i="5"/>
  <c r="N148" i="5"/>
  <c r="L149" i="5"/>
  <c r="M149" i="5"/>
  <c r="N149" i="5"/>
  <c r="L150" i="5"/>
  <c r="M150" i="5"/>
  <c r="N150" i="5"/>
  <c r="L151" i="5"/>
  <c r="M151" i="5"/>
  <c r="N151" i="5"/>
  <c r="L152" i="5"/>
  <c r="M152" i="5"/>
  <c r="N152" i="5"/>
  <c r="L153" i="5"/>
  <c r="M153" i="5"/>
  <c r="N153" i="5"/>
  <c r="L154" i="5"/>
  <c r="M154" i="5"/>
  <c r="N154" i="5"/>
  <c r="L155" i="5"/>
  <c r="M155" i="5"/>
  <c r="N155" i="5"/>
  <c r="L156" i="5"/>
  <c r="M156" i="5"/>
  <c r="N156" i="5"/>
  <c r="L157" i="5"/>
  <c r="M157" i="5"/>
  <c r="N157" i="5"/>
  <c r="L158" i="5"/>
  <c r="M158" i="5"/>
  <c r="N158" i="5"/>
  <c r="L159" i="5"/>
  <c r="M159" i="5"/>
  <c r="N159" i="5"/>
  <c r="L160" i="5"/>
  <c r="M160" i="5"/>
  <c r="N160" i="5"/>
  <c r="L161" i="5"/>
  <c r="M161" i="5"/>
  <c r="N161" i="5"/>
  <c r="L162" i="5"/>
  <c r="M162" i="5"/>
  <c r="N162" i="5"/>
  <c r="L163" i="5"/>
  <c r="M163" i="5"/>
  <c r="N163" i="5"/>
  <c r="L164" i="5"/>
  <c r="M164" i="5"/>
  <c r="N164" i="5"/>
  <c r="L165" i="5"/>
  <c r="M165" i="5"/>
  <c r="N165" i="5"/>
  <c r="L166" i="5"/>
  <c r="M166" i="5"/>
  <c r="N166" i="5"/>
  <c r="L167" i="5"/>
  <c r="M167" i="5"/>
  <c r="N167" i="5"/>
  <c r="L168" i="5"/>
  <c r="M168" i="5"/>
  <c r="N168" i="5"/>
  <c r="L169" i="5"/>
  <c r="M169" i="5"/>
  <c r="N169" i="5"/>
  <c r="L170" i="5"/>
  <c r="M170" i="5"/>
  <c r="N170" i="5"/>
  <c r="L171" i="5"/>
  <c r="M171" i="5"/>
  <c r="N171" i="5"/>
  <c r="L172" i="5"/>
  <c r="M172" i="5"/>
  <c r="N172" i="5"/>
  <c r="L173" i="5"/>
  <c r="M173" i="5"/>
  <c r="N173" i="5"/>
  <c r="L174" i="5"/>
  <c r="M174" i="5"/>
  <c r="N174" i="5"/>
  <c r="L175" i="5"/>
  <c r="M175" i="5"/>
  <c r="N175" i="5"/>
  <c r="L176" i="5"/>
  <c r="M176" i="5"/>
  <c r="N176" i="5"/>
  <c r="L177" i="5"/>
  <c r="M177" i="5"/>
  <c r="N177" i="5"/>
  <c r="L178" i="5"/>
  <c r="M178" i="5"/>
  <c r="N178" i="5"/>
  <c r="L179" i="5"/>
  <c r="M179" i="5"/>
  <c r="N179" i="5"/>
  <c r="L180" i="5"/>
  <c r="M180" i="5"/>
  <c r="N180" i="5"/>
  <c r="L181" i="5"/>
  <c r="M181" i="5"/>
  <c r="N181" i="5"/>
  <c r="L182" i="5"/>
  <c r="M182" i="5"/>
  <c r="N182" i="5"/>
  <c r="L183" i="5"/>
  <c r="M183" i="5"/>
  <c r="N183" i="5"/>
  <c r="L184" i="5"/>
  <c r="M184" i="5"/>
  <c r="N184" i="5"/>
  <c r="L185" i="5"/>
  <c r="M185" i="5"/>
  <c r="N185" i="5"/>
  <c r="L186" i="5"/>
  <c r="M186" i="5"/>
  <c r="N186" i="5"/>
  <c r="L187" i="5"/>
  <c r="M187" i="5"/>
  <c r="N187" i="5"/>
  <c r="M70" i="5"/>
  <c r="N70"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70" i="5"/>
  <c r="G87" i="5"/>
  <c r="H87" i="5"/>
  <c r="I87" i="5"/>
  <c r="G88" i="5"/>
  <c r="H88" i="5"/>
  <c r="I88" i="5"/>
  <c r="G89" i="5"/>
  <c r="H89" i="5"/>
  <c r="I89" i="5"/>
  <c r="G90" i="5"/>
  <c r="H90" i="5"/>
  <c r="I90" i="5"/>
  <c r="G91" i="5"/>
  <c r="H91" i="5"/>
  <c r="I91" i="5"/>
  <c r="G92" i="5"/>
  <c r="H92" i="5"/>
  <c r="I92" i="5"/>
  <c r="G93" i="5"/>
  <c r="H93" i="5"/>
  <c r="I93" i="5"/>
  <c r="G94" i="5"/>
  <c r="H94" i="5"/>
  <c r="I94" i="5"/>
  <c r="G95" i="5"/>
  <c r="H95" i="5"/>
  <c r="I95" i="5"/>
  <c r="G96" i="5"/>
  <c r="H96" i="5"/>
  <c r="I96" i="5"/>
  <c r="G97" i="5"/>
  <c r="H97" i="5"/>
  <c r="I97" i="5"/>
  <c r="G98" i="5"/>
  <c r="H98" i="5"/>
  <c r="I98" i="5"/>
  <c r="G99" i="5"/>
  <c r="H99" i="5"/>
  <c r="I99" i="5"/>
  <c r="G100" i="5"/>
  <c r="H100" i="5"/>
  <c r="I100" i="5"/>
  <c r="G101" i="5"/>
  <c r="H101" i="5"/>
  <c r="I101" i="5"/>
  <c r="G102" i="5"/>
  <c r="H102" i="5"/>
  <c r="I102" i="5"/>
  <c r="G103" i="5"/>
  <c r="H103" i="5"/>
  <c r="I103" i="5"/>
  <c r="G104" i="5"/>
  <c r="H104" i="5"/>
  <c r="I104" i="5"/>
  <c r="G105" i="5"/>
  <c r="H105" i="5"/>
  <c r="I105" i="5"/>
  <c r="G106" i="5"/>
  <c r="H106" i="5"/>
  <c r="I106" i="5"/>
  <c r="G107" i="5"/>
  <c r="H107" i="5"/>
  <c r="I107" i="5"/>
  <c r="G108" i="5"/>
  <c r="H108" i="5"/>
  <c r="I108" i="5"/>
  <c r="G109" i="5"/>
  <c r="H109" i="5"/>
  <c r="I109" i="5"/>
  <c r="G110" i="5"/>
  <c r="H110" i="5"/>
  <c r="I110" i="5"/>
  <c r="G111" i="5"/>
  <c r="H111" i="5"/>
  <c r="I111" i="5"/>
  <c r="G112" i="5"/>
  <c r="H112" i="5"/>
  <c r="I112" i="5"/>
  <c r="G113" i="5"/>
  <c r="H113" i="5"/>
  <c r="I113" i="5"/>
  <c r="G114" i="5"/>
  <c r="H114" i="5"/>
  <c r="I114" i="5"/>
  <c r="G115" i="5"/>
  <c r="H115" i="5"/>
  <c r="I115" i="5"/>
  <c r="G116" i="5"/>
  <c r="H116" i="5"/>
  <c r="I116" i="5"/>
  <c r="G117" i="5"/>
  <c r="H117" i="5"/>
  <c r="I117" i="5"/>
  <c r="G118" i="5"/>
  <c r="H118" i="5"/>
  <c r="I118" i="5"/>
  <c r="G119" i="5"/>
  <c r="H119" i="5"/>
  <c r="I119" i="5"/>
  <c r="G120" i="5"/>
  <c r="H120" i="5"/>
  <c r="I120" i="5"/>
  <c r="G121" i="5"/>
  <c r="H121" i="5"/>
  <c r="I121" i="5"/>
  <c r="G122" i="5"/>
  <c r="H122" i="5"/>
  <c r="I122" i="5"/>
  <c r="G123" i="5"/>
  <c r="H123" i="5"/>
  <c r="I123" i="5"/>
  <c r="G124" i="5"/>
  <c r="H124" i="5"/>
  <c r="I124" i="5"/>
  <c r="G125" i="5"/>
  <c r="H125" i="5"/>
  <c r="I125" i="5"/>
  <c r="G126" i="5"/>
  <c r="H126" i="5"/>
  <c r="I126" i="5"/>
  <c r="G127" i="5"/>
  <c r="H127" i="5"/>
  <c r="I127" i="5"/>
  <c r="G128" i="5"/>
  <c r="H128" i="5"/>
  <c r="I128" i="5"/>
  <c r="G129" i="5"/>
  <c r="H129" i="5"/>
  <c r="I129" i="5"/>
  <c r="G130" i="5"/>
  <c r="H130" i="5"/>
  <c r="I130" i="5"/>
  <c r="G131" i="5"/>
  <c r="H131" i="5"/>
  <c r="I131" i="5"/>
  <c r="G132" i="5"/>
  <c r="H132" i="5"/>
  <c r="I132" i="5"/>
  <c r="G133" i="5"/>
  <c r="H133" i="5"/>
  <c r="I133" i="5"/>
  <c r="G134" i="5"/>
  <c r="H134" i="5"/>
  <c r="I134" i="5"/>
  <c r="G135" i="5"/>
  <c r="H135" i="5"/>
  <c r="I135" i="5"/>
  <c r="G136" i="5"/>
  <c r="H136" i="5"/>
  <c r="I136" i="5"/>
  <c r="G137" i="5"/>
  <c r="H137" i="5"/>
  <c r="I137" i="5"/>
  <c r="G138" i="5"/>
  <c r="H138" i="5"/>
  <c r="I138" i="5"/>
  <c r="G139" i="5"/>
  <c r="H139" i="5"/>
  <c r="I139" i="5"/>
  <c r="G140" i="5"/>
  <c r="H140" i="5"/>
  <c r="I140" i="5"/>
  <c r="G141" i="5"/>
  <c r="H141" i="5"/>
  <c r="I141" i="5"/>
  <c r="G142" i="5"/>
  <c r="H142" i="5"/>
  <c r="I142" i="5"/>
  <c r="G143" i="5"/>
  <c r="H143" i="5"/>
  <c r="I143" i="5"/>
  <c r="G144" i="5"/>
  <c r="H144" i="5"/>
  <c r="I144" i="5"/>
  <c r="G145" i="5"/>
  <c r="H145" i="5"/>
  <c r="I145" i="5"/>
  <c r="G146" i="5"/>
  <c r="H146" i="5"/>
  <c r="I146" i="5"/>
  <c r="G147" i="5"/>
  <c r="H147" i="5"/>
  <c r="I147" i="5"/>
  <c r="G148" i="5"/>
  <c r="H148" i="5"/>
  <c r="I148" i="5"/>
  <c r="G149" i="5"/>
  <c r="H149" i="5"/>
  <c r="I149" i="5"/>
  <c r="G150" i="5"/>
  <c r="H150" i="5"/>
  <c r="I150" i="5"/>
  <c r="G151" i="5"/>
  <c r="H151" i="5"/>
  <c r="I151" i="5"/>
  <c r="G152" i="5"/>
  <c r="H152" i="5"/>
  <c r="I152" i="5"/>
  <c r="G153" i="5"/>
  <c r="H153" i="5"/>
  <c r="I153" i="5"/>
  <c r="G154" i="5"/>
  <c r="H154" i="5"/>
  <c r="I154" i="5"/>
  <c r="G155" i="5"/>
  <c r="H155" i="5"/>
  <c r="I155" i="5"/>
  <c r="G156" i="5"/>
  <c r="H156" i="5"/>
  <c r="I156" i="5"/>
  <c r="G157" i="5"/>
  <c r="H157" i="5"/>
  <c r="I157" i="5"/>
  <c r="G158" i="5"/>
  <c r="H158" i="5"/>
  <c r="I158" i="5"/>
  <c r="G159" i="5"/>
  <c r="H159" i="5"/>
  <c r="I159" i="5"/>
  <c r="G160" i="5"/>
  <c r="H160" i="5"/>
  <c r="I160" i="5"/>
  <c r="G161" i="5"/>
  <c r="H161" i="5"/>
  <c r="I161" i="5"/>
  <c r="G162" i="5"/>
  <c r="H162" i="5"/>
  <c r="I162" i="5"/>
  <c r="G163" i="5"/>
  <c r="H163" i="5"/>
  <c r="I163" i="5"/>
  <c r="G164" i="5"/>
  <c r="H164" i="5"/>
  <c r="I164" i="5"/>
  <c r="G165" i="5"/>
  <c r="H165" i="5"/>
  <c r="I165" i="5"/>
  <c r="G166" i="5"/>
  <c r="H166" i="5"/>
  <c r="I166" i="5"/>
  <c r="G167" i="5"/>
  <c r="H167" i="5"/>
  <c r="I167" i="5"/>
  <c r="G168" i="5"/>
  <c r="H168" i="5"/>
  <c r="I168" i="5"/>
  <c r="G169" i="5"/>
  <c r="H169" i="5"/>
  <c r="I169" i="5"/>
  <c r="G170" i="5"/>
  <c r="H170" i="5"/>
  <c r="I170" i="5"/>
  <c r="G171" i="5"/>
  <c r="H171" i="5"/>
  <c r="I171" i="5"/>
  <c r="G172" i="5"/>
  <c r="H172" i="5"/>
  <c r="I172" i="5"/>
  <c r="G173" i="5"/>
  <c r="H173" i="5"/>
  <c r="I173" i="5"/>
  <c r="G174" i="5"/>
  <c r="H174" i="5"/>
  <c r="I174" i="5"/>
  <c r="G175" i="5"/>
  <c r="H175" i="5"/>
  <c r="I175" i="5"/>
  <c r="G176" i="5"/>
  <c r="H176" i="5"/>
  <c r="I176" i="5"/>
  <c r="G177" i="5"/>
  <c r="H177" i="5"/>
  <c r="I177" i="5"/>
  <c r="G178" i="5"/>
  <c r="H178" i="5"/>
  <c r="I178" i="5"/>
  <c r="G179" i="5"/>
  <c r="H179" i="5"/>
  <c r="I179" i="5"/>
  <c r="G180" i="5"/>
  <c r="H180" i="5"/>
  <c r="I180" i="5"/>
  <c r="G181" i="5"/>
  <c r="H181" i="5"/>
  <c r="I181" i="5"/>
  <c r="G182" i="5"/>
  <c r="H182" i="5"/>
  <c r="I182" i="5"/>
  <c r="G183" i="5"/>
  <c r="H183" i="5"/>
  <c r="I183" i="5"/>
  <c r="G184" i="5"/>
  <c r="H184" i="5"/>
  <c r="I184" i="5"/>
  <c r="G185" i="5"/>
  <c r="H185" i="5"/>
  <c r="I185" i="5"/>
  <c r="G186" i="5"/>
  <c r="H186" i="5"/>
  <c r="I186" i="5"/>
  <c r="G187" i="5"/>
  <c r="H187" i="5"/>
  <c r="I187" i="5"/>
  <c r="G188" i="5"/>
  <c r="H188" i="5"/>
  <c r="I188" i="5"/>
  <c r="G189" i="5"/>
  <c r="H189" i="5"/>
  <c r="I189" i="5"/>
  <c r="G190" i="5"/>
  <c r="H190" i="5"/>
  <c r="I190" i="5"/>
  <c r="G191" i="5"/>
  <c r="H191" i="5"/>
  <c r="I191" i="5"/>
  <c r="G192" i="5"/>
  <c r="H192" i="5"/>
  <c r="I192" i="5"/>
  <c r="G193" i="5"/>
  <c r="H193" i="5"/>
  <c r="I193" i="5"/>
  <c r="G194" i="5"/>
  <c r="H194" i="5"/>
  <c r="I194" i="5"/>
  <c r="G195" i="5"/>
  <c r="H195" i="5"/>
  <c r="I195" i="5"/>
  <c r="G196" i="5"/>
  <c r="H196" i="5"/>
  <c r="I196" i="5"/>
  <c r="G197" i="5"/>
  <c r="H197" i="5"/>
  <c r="I197" i="5"/>
  <c r="G198" i="5"/>
  <c r="H198" i="5"/>
  <c r="I198" i="5"/>
  <c r="G199" i="5"/>
  <c r="H199" i="5"/>
  <c r="I199" i="5"/>
  <c r="G200" i="5"/>
  <c r="H200" i="5"/>
  <c r="I200" i="5"/>
  <c r="G201" i="5"/>
  <c r="H201" i="5"/>
  <c r="I201" i="5"/>
  <c r="G202" i="5"/>
  <c r="H202" i="5"/>
  <c r="I202" i="5"/>
  <c r="G203" i="5"/>
  <c r="H203" i="5"/>
  <c r="I203" i="5"/>
  <c r="G204" i="5"/>
  <c r="H204" i="5"/>
  <c r="I204" i="5"/>
  <c r="G205" i="5"/>
  <c r="H205" i="5"/>
  <c r="I205" i="5"/>
  <c r="G206" i="5"/>
  <c r="H206" i="5"/>
  <c r="I206" i="5"/>
  <c r="G207" i="5"/>
  <c r="H207" i="5"/>
  <c r="I207" i="5"/>
  <c r="G208" i="5"/>
  <c r="H208" i="5"/>
  <c r="I208" i="5"/>
  <c r="G209" i="5"/>
  <c r="H209" i="5"/>
  <c r="I209" i="5"/>
  <c r="G210" i="5"/>
  <c r="H210" i="5"/>
  <c r="I210" i="5"/>
  <c r="G211" i="5"/>
  <c r="H211" i="5"/>
  <c r="I211" i="5"/>
  <c r="G212" i="5"/>
  <c r="H212" i="5"/>
  <c r="I212" i="5"/>
  <c r="G213" i="5"/>
  <c r="H213" i="5"/>
  <c r="I213" i="5"/>
  <c r="G214" i="5"/>
  <c r="H214" i="5"/>
  <c r="I214" i="5"/>
  <c r="G215" i="5"/>
  <c r="H215" i="5"/>
  <c r="I215" i="5"/>
  <c r="G216" i="5"/>
  <c r="H216" i="5"/>
  <c r="I216" i="5"/>
  <c r="G217" i="5"/>
  <c r="H217" i="5"/>
  <c r="I217" i="5"/>
  <c r="G218" i="5"/>
  <c r="H218" i="5"/>
  <c r="I218" i="5"/>
  <c r="G219" i="5"/>
  <c r="H219" i="5"/>
  <c r="I219" i="5"/>
  <c r="G220" i="5"/>
  <c r="H220" i="5"/>
  <c r="I220" i="5"/>
  <c r="G221" i="5"/>
  <c r="H221" i="5"/>
  <c r="I221" i="5"/>
  <c r="G222" i="5"/>
  <c r="H222" i="5"/>
  <c r="I222" i="5"/>
  <c r="G223" i="5"/>
  <c r="H223" i="5"/>
  <c r="I223" i="5"/>
  <c r="G224" i="5"/>
  <c r="H224" i="5"/>
  <c r="I224" i="5"/>
  <c r="G225" i="5"/>
  <c r="H225" i="5"/>
  <c r="I225" i="5"/>
  <c r="G226" i="5"/>
  <c r="H226" i="5"/>
  <c r="I226" i="5"/>
  <c r="G227" i="5"/>
  <c r="H227" i="5"/>
  <c r="I227" i="5"/>
  <c r="G228" i="5"/>
  <c r="H228" i="5"/>
  <c r="I228" i="5"/>
  <c r="G229" i="5"/>
  <c r="H229" i="5"/>
  <c r="I229" i="5"/>
  <c r="G230" i="5"/>
  <c r="H230" i="5"/>
  <c r="I230" i="5"/>
  <c r="G231" i="5"/>
  <c r="H231" i="5"/>
  <c r="I231" i="5"/>
  <c r="G232" i="5"/>
  <c r="H232" i="5"/>
  <c r="I232" i="5"/>
  <c r="G233" i="5"/>
  <c r="H233" i="5"/>
  <c r="I233" i="5"/>
  <c r="G234" i="5"/>
  <c r="H234" i="5"/>
  <c r="I234" i="5"/>
  <c r="G235" i="5"/>
  <c r="H235" i="5"/>
  <c r="I235" i="5"/>
  <c r="G236" i="5"/>
  <c r="H236" i="5"/>
  <c r="I236" i="5"/>
  <c r="G237" i="5"/>
  <c r="H237" i="5"/>
  <c r="I237" i="5"/>
  <c r="G238" i="5"/>
  <c r="H238" i="5"/>
  <c r="I238" i="5"/>
  <c r="G239" i="5"/>
  <c r="H239" i="5"/>
  <c r="I239" i="5"/>
  <c r="G240" i="5"/>
  <c r="H240" i="5"/>
  <c r="I240" i="5"/>
  <c r="G241" i="5"/>
  <c r="H241" i="5"/>
  <c r="I241" i="5"/>
  <c r="G242" i="5"/>
  <c r="H242" i="5"/>
  <c r="I242" i="5"/>
  <c r="G243" i="5"/>
  <c r="H243" i="5"/>
  <c r="I243" i="5"/>
  <c r="G244" i="5"/>
  <c r="H244" i="5"/>
  <c r="I244" i="5"/>
  <c r="G245" i="5"/>
  <c r="H245" i="5"/>
  <c r="I245" i="5"/>
  <c r="G246" i="5"/>
  <c r="H246" i="5"/>
  <c r="I246" i="5"/>
  <c r="G247" i="5"/>
  <c r="H247" i="5"/>
  <c r="I247" i="5"/>
  <c r="G248" i="5"/>
  <c r="H248" i="5"/>
  <c r="I248" i="5"/>
  <c r="G249" i="5"/>
  <c r="H249" i="5"/>
  <c r="I249" i="5"/>
  <c r="G250" i="5"/>
  <c r="H250" i="5"/>
  <c r="I250" i="5"/>
  <c r="G251" i="5"/>
  <c r="H251" i="5"/>
  <c r="I251" i="5"/>
  <c r="G252" i="5"/>
  <c r="H252" i="5"/>
  <c r="I252" i="5"/>
  <c r="G253" i="5"/>
  <c r="H253" i="5"/>
  <c r="I253" i="5"/>
  <c r="G254" i="5"/>
  <c r="H254" i="5"/>
  <c r="I254" i="5"/>
  <c r="G255" i="5"/>
  <c r="H255" i="5"/>
  <c r="I255" i="5"/>
  <c r="G256" i="5"/>
  <c r="H256" i="5"/>
  <c r="I256" i="5"/>
  <c r="G257" i="5"/>
  <c r="H257" i="5"/>
  <c r="I257" i="5"/>
  <c r="G258" i="5"/>
  <c r="H258" i="5"/>
  <c r="I258" i="5"/>
  <c r="G259" i="5"/>
  <c r="H259" i="5"/>
  <c r="I259" i="5"/>
  <c r="G260" i="5"/>
  <c r="H260" i="5"/>
  <c r="I260" i="5"/>
  <c r="G261" i="5"/>
  <c r="H261" i="5"/>
  <c r="I261" i="5"/>
  <c r="G262" i="5"/>
  <c r="H262" i="5"/>
  <c r="I262" i="5"/>
  <c r="G263" i="5"/>
  <c r="H263" i="5"/>
  <c r="I263" i="5"/>
  <c r="G264" i="5"/>
  <c r="H264" i="5"/>
  <c r="I264" i="5"/>
  <c r="G265" i="5"/>
  <c r="H265" i="5"/>
  <c r="I265" i="5"/>
  <c r="G266" i="5"/>
  <c r="H266" i="5"/>
  <c r="I266" i="5"/>
  <c r="G267" i="5"/>
  <c r="H267" i="5"/>
  <c r="I267" i="5"/>
  <c r="G268" i="5"/>
  <c r="H268" i="5"/>
  <c r="I268" i="5"/>
  <c r="G269" i="5"/>
  <c r="H269" i="5"/>
  <c r="I269" i="5"/>
  <c r="G270" i="5"/>
  <c r="H270" i="5"/>
  <c r="I270" i="5"/>
  <c r="G271" i="5"/>
  <c r="H271" i="5"/>
  <c r="I271" i="5"/>
  <c r="G272" i="5"/>
  <c r="H272" i="5"/>
  <c r="I272" i="5"/>
  <c r="G71" i="5"/>
  <c r="H71" i="5"/>
  <c r="I71" i="5"/>
  <c r="G72" i="5"/>
  <c r="H72" i="5"/>
  <c r="I72" i="5"/>
  <c r="G73" i="5"/>
  <c r="H73" i="5"/>
  <c r="I73" i="5"/>
  <c r="G74" i="5"/>
  <c r="H74" i="5"/>
  <c r="I74" i="5"/>
  <c r="G75" i="5"/>
  <c r="H75" i="5"/>
  <c r="I75" i="5"/>
  <c r="G76" i="5"/>
  <c r="H76" i="5"/>
  <c r="I76" i="5"/>
  <c r="G77" i="5"/>
  <c r="H77" i="5"/>
  <c r="I77" i="5"/>
  <c r="G78" i="5"/>
  <c r="H78" i="5"/>
  <c r="I78" i="5"/>
  <c r="G79" i="5"/>
  <c r="H79" i="5"/>
  <c r="I79" i="5"/>
  <c r="G80" i="5"/>
  <c r="H80" i="5"/>
  <c r="I80" i="5"/>
  <c r="G81" i="5"/>
  <c r="H81" i="5"/>
  <c r="I81" i="5"/>
  <c r="G82" i="5"/>
  <c r="H82" i="5"/>
  <c r="I82" i="5"/>
  <c r="G83" i="5"/>
  <c r="H83" i="5"/>
  <c r="I83" i="5"/>
  <c r="G84" i="5"/>
  <c r="H84" i="5"/>
  <c r="I84" i="5"/>
  <c r="G85" i="5"/>
  <c r="H85" i="5"/>
  <c r="I85" i="5"/>
  <c r="G86" i="5"/>
  <c r="H86" i="5"/>
  <c r="I86" i="5"/>
  <c r="H70" i="5"/>
  <c r="I70" i="5"/>
  <c r="G70" i="5"/>
  <c r="L8" i="9"/>
  <c r="I6" i="9"/>
  <c r="J6" i="9"/>
  <c r="K6" i="9"/>
  <c r="L6" i="9"/>
  <c r="I7" i="9"/>
  <c r="J7" i="9"/>
  <c r="K7" i="9"/>
  <c r="L7" i="9"/>
  <c r="I8" i="9"/>
  <c r="J8" i="9"/>
  <c r="K8" i="9"/>
  <c r="I9" i="9"/>
  <c r="J9" i="9"/>
  <c r="K9" i="9"/>
  <c r="L9" i="9"/>
  <c r="I10" i="9"/>
  <c r="J10" i="9"/>
  <c r="K10" i="9"/>
  <c r="L10" i="9"/>
  <c r="H7" i="9"/>
  <c r="H8" i="9"/>
  <c r="H9" i="9"/>
  <c r="H10" i="9"/>
  <c r="H6" i="9"/>
  <c r="G4" i="5"/>
  <c r="K4" i="5"/>
  <c r="J4" i="5"/>
  <c r="I4" i="5"/>
  <c r="H4"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<sst xmlns="http://schemas.openxmlformats.org/spreadsheetml/2006/main" count="14556" uniqueCount="2538">
  <si>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</si>
  <si>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</si>
  <si>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</si>
  <si>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</si>
  <si>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</si>
  <si>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</si>
  <si>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</si>
  <si>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</si>
  <si>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</si>
  <si>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</si>
  <si>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</si>
  <si>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</si>
  <si>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</si>
  <si>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</si>
  <si>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</si>
  <si>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</si>
  <si>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</si>
  <si>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</si>
  <si>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</si>
  <si>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</si>
  <si>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</si>
  <si>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</si>
  <si>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</si>
  <si>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</si>
  <si>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</si>
  <si>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</si>
  <si>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</si>
  <si>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</si>
  <si>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</si>
  <si>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</si>
  <si>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</si>
  <si>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</si>
  <si>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</si>
  <si>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</si>
  <si>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</si>
  <si>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</si>
  <si>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</si>
  <si>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</si>
  <si>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</si>
  <si>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</si>
  <si>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</si>
  <si>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</si>
  <si>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</si>
  <si>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</si>
  <si>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</si>
  <si>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</si>
  <si>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</si>
  <si>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</si>
  <si>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</si>
  <si>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</si>
  <si>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</si>
  <si>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</si>
  <si>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</si>
  <si>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</si>
  <si>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</si>
  <si>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</si>
  <si>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</si>
  <si>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</si>
  <si>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</si>
  <si>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</si>
  <si>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</si>
  <si>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</si>
  <si>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</si>
  <si>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</si>
  <si>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</si>
  <si>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</si>
  <si>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</si>
  <si>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</si>
  <si>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</si>
  <si>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</si>
  <si>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</si>
  <si>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</si>
  <si>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</si>
  <si>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</si>
  <si>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</si>
  <si>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</si>
  <si>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</si>
  <si>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</si>
  <si>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</si>
  <si>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</si>
  <si>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</si>
  <si>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</si>
  <si>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</si>
  <si>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</si>
  <si>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</si>
  <si>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</si>
  <si>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</si>
  <si>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</si>
  <si>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</si>
  <si>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</si>
  <si>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</si>
  <si>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</si>
  <si>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</si>
  <si>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</si>
  <si>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</si>
  <si>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</si>
  <si>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</si>
  <si>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</si>
  <si>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</si>
  <si>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</si>
  <si>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</si>
  <si>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</si>
  <si>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</si>
  <si>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</si>
  <si>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</si>
  <si>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</si>
  <si>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</si>
  <si>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</si>
  <si>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</si>
  <si>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</si>
  <si>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</si>
  <si>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</si>
  <si>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</si>
  <si>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</si>
  <si>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</si>
  <si>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</si>
  <si>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</si>
  <si>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</si>
  <si>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</si>
  <si>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</si>
  <si>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</si>
  <si>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</si>
  <si>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</si>
  <si>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</si>
  <si>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</si>
  <si>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</si>
  <si>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</si>
  <si>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</si>
  <si>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</si>
  <si>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</si>
  <si>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</si>
  <si>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</si>
  <si>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</si>
  <si>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</si>
  <si>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</si>
  <si>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</si>
  <si>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</si>
  <si>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</si>
  <si>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</si>
  <si>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</si>
  <si>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</si>
  <si>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</si>
  <si>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</si>
  <si>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</si>
  <si>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</si>
  <si>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</si>
  <si>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</si>
  <si>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</si>
  <si>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</si>
  <si>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</si>
  <si>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</si>
  <si>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</si>
  <si>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</si>
  <si>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</si>
  <si>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</si>
  <si>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</si>
  <si>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</si>
  <si>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</si>
  <si>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</si>
  <si>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</si>
  <si>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</si>
  <si>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</si>
  <si>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</si>
  <si>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</si>
  <si>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</si>
  <si>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</si>
  <si>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</si>
  <si>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</si>
  <si>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</si>
  <si>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</si>
  <si>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</si>
  <si>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</si>
  <si>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</si>
  <si>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</si>
  <si>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</si>
  <si>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</si>
  <si>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</si>
  <si>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</si>
  <si>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</si>
  <si>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</si>
  <si>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</si>
  <si>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</si>
  <si>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</si>
  <si>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</si>
  <si>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</si>
  <si>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</si>
  <si>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</si>
  <si>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</si>
  <si>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</si>
  <si>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</si>
  <si>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</si>
  <si>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</si>
  <si>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</si>
  <si>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</si>
  <si>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</si>
  <si>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</si>
  <si>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</si>
  <si>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</si>
  <si>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</si>
  <si>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</si>
  <si>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</si>
  <si>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</si>
  <si>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</si>
  <si>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</si>
  <si>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</si>
  <si>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</si>
  <si>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</si>
  <si>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</si>
  <si>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</si>
  <si>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</si>
  <si>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</si>
  <si>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</si>
  <si>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</si>
  <si>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</si>
  <si>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</si>
  <si>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</si>
  <si>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</si>
  <si>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</si>
  <si>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</si>
  <si>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</si>
  <si>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</si>
  <si>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</si>
  <si>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</si>
  <si>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</si>
  <si>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</si>
  <si>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</si>
  <si>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</si>
  <si>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</si>
  <si>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</si>
  <si>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</si>
  <si>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</si>
  <si>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</si>
  <si>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</si>
  <si>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</si>
  <si>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</si>
  <si>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</si>
  <si>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</si>
  <si>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</si>
  <si>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</si>
  <si>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</si>
  <si>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</si>
  <si>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</si>
  <si>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</si>
  <si>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</si>
  <si>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</si>
  <si>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</si>
  <si>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</si>
  <si>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</si>
  <si>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</si>
  <si>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</si>
  <si>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</si>
  <si>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</si>
  <si>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</si>
  <si>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</si>
  <si>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</si>
  <si>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</si>
  <si>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</si>
  <si>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</si>
  <si>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</si>
  <si>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</si>
  <si>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</si>
  <si>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</si>
  <si>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</si>
  <si>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</si>
  <si>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</si>
  <si>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</si>
  <si>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</si>
  <si>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</si>
  <si>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</si>
  <si>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</si>
  <si>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</si>
  <si>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</si>
  <si>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</si>
  <si>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</si>
  <si>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</si>
  <si>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</si>
  <si>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</si>
  <si>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</si>
  <si>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</si>
  <si>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</si>
  <si>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</si>
  <si>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</si>
  <si>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</si>
  <si>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</si>
  <si>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</si>
  <si>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</si>
  <si>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</si>
  <si>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</si>
  <si>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</si>
  <si>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</si>
  <si>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</si>
  <si>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</si>
  <si>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</si>
  <si>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</si>
  <si>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</si>
  <si>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</si>
  <si>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</si>
  <si>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</si>
  <si>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</si>
  <si>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</si>
  <si>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</si>
  <si>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</si>
  <si>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</si>
  <si>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</si>
  <si>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</si>
  <si>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</si>
  <si>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</si>
  <si>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</si>
  <si>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</si>
  <si>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</si>
  <si>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</si>
  <si>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</si>
  <si>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</si>
  <si>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</si>
  <si>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</si>
  <si>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</si>
  <si>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</si>
  <si>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</si>
  <si>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</si>
  <si>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</si>
  <si>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</si>
  <si>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</si>
  <si>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</si>
  <si>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</si>
  <si>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</si>
  <si>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</si>
  <si>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</si>
  <si>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</si>
  <si>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</si>
  <si>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</si>
  <si>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</si>
  <si>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</si>
  <si>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</si>
  <si>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</si>
  <si>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</si>
  <si>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</si>
  <si>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</si>
  <si>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</si>
  <si>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</si>
  <si>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</si>
  <si>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</si>
  <si>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</si>
  <si>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</si>
  <si>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</si>
  <si>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</si>
  <si>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</si>
  <si>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</si>
  <si>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</si>
  <si>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</si>
  <si>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</si>
  <si>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</si>
  <si>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</si>
  <si>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</si>
  <si>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</si>
  <si>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</si>
  <si>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</si>
  <si>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</si>
  <si>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</si>
  <si>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</si>
  <si>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</si>
  <si>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</si>
  <si>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</si>
  <si>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</si>
  <si>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</si>
  <si>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</si>
  <si>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</si>
  <si>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</si>
  <si>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</si>
  <si>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</si>
  <si>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</si>
  <si>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</si>
  <si>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</si>
  <si>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</si>
  <si>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</si>
  <si>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</si>
  <si>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</si>
  <si>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</si>
  <si>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</si>
  <si>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</si>
  <si>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</si>
  <si>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</si>
  <si>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</si>
  <si>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</si>
  <si>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</si>
  <si>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</si>
  <si>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</si>
  <si>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</si>
  <si>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</si>
  <si>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</si>
  <si>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</si>
  <si>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</si>
  <si>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</si>
  <si>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</si>
  <si>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</si>
  <si>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</si>
  <si>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</si>
  <si>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</si>
  <si>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</si>
  <si>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</si>
  <si>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</si>
  <si>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</si>
  <si>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</si>
  <si>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</si>
  <si>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</si>
  <si>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</si>
  <si>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</si>
  <si>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</si>
  <si>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</si>
  <si>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</si>
  <si>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</si>
  <si>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</si>
  <si>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</si>
  <si>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</si>
  <si>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</si>
  <si>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</si>
  <si>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</si>
  <si>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</si>
  <si>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</si>
  <si>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</si>
  <si>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</si>
  <si>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</si>
  <si>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</si>
  <si>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</si>
  <si>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</si>
  <si>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</si>
  <si>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</si>
  <si>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</si>
  <si>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</si>
  <si>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</si>
  <si>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</si>
  <si>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</si>
  <si>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</si>
  <si>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</si>
  <si>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</si>
  <si>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</si>
  <si>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</si>
  <si>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</si>
  <si>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</si>
  <si>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</si>
  <si>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</si>
  <si>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</si>
  <si>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</si>
  <si>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</si>
  <si>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</si>
  <si>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</si>
  <si>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</si>
  <si>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</si>
  <si>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</si>
  <si>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</si>
  <si>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</si>
  <si>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</si>
  <si>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</si>
  <si>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</si>
  <si>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</si>
  <si>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</si>
  <si>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</si>
  <si>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</si>
  <si>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</si>
  <si>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</si>
  <si>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</si>
  <si>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</si>
  <si>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</si>
  <si>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</si>
  <si>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</si>
  <si>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</si>
  <si>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</si>
  <si>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</si>
  <si>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</si>
  <si>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</si>
  <si>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</si>
  <si>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</si>
  <si>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</si>
  <si>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</si>
  <si>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</si>
  <si>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</si>
  <si>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</si>
  <si>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</si>
  <si>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</si>
  <si>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</si>
  <si>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</si>
  <si>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</si>
  <si>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</si>
  <si>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</si>
  <si>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</si>
  <si>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</si>
  <si>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</si>
  <si>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</si>
  <si>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</si>
  <si>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</si>
  <si>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</si>
  <si>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</si>
  <si>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</si>
  <si>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</si>
  <si>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</si>
  <si>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</si>
  <si>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</si>
  <si>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</si>
  <si>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</si>
  <si>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</si>
  <si>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</si>
  <si>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</si>
  <si>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</si>
  <si>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</si>
  <si>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</si>
  <si>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</si>
  <si>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</si>
  <si>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</si>
  <si>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</si>
  <si>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</si>
  <si>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</si>
  <si>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</si>
  <si>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</si>
  <si>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</si>
  <si>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</si>
  <si>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</si>
  <si>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</si>
  <si>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</si>
  <si>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</si>
  <si>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</si>
  <si>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</si>
  <si>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</si>
  <si>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</si>
  <si>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</si>
  <si>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</si>
  <si>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</si>
  <si>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</si>
  <si>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</si>
  <si>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</si>
  <si>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</si>
  <si>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</si>
  <si>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</si>
  <si>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</si>
  <si>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</si>
  <si>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</si>
  <si>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</si>
  <si>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</si>
  <si>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</si>
  <si>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</si>
  <si>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</si>
  <si>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</si>
  <si>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</si>
  <si>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</si>
  <si>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</si>
  <si>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</si>
  <si>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</si>
  <si>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</si>
  <si>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</si>
  <si>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</si>
  <si>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</si>
  <si>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</si>
  <si>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</si>
  <si>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</si>
  <si>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</si>
  <si>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</si>
  <si>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</si>
  <si>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</si>
  <si>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</si>
  <si>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</si>
  <si>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</si>
  <si>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</si>
  <si>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</si>
  <si>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</si>
  <si>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</si>
  <si>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</si>
  <si>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</si>
  <si>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</si>
  <si>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</si>
  <si>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</si>
  <si>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</si>
  <si>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</si>
  <si>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</si>
  <si>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</si>
  <si>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</si>
  <si>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</si>
  <si>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</si>
  <si>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</si>
  <si>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</si>
  <si>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</si>
  <si>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</si>
  <si>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</si>
  <si>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</si>
  <si>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</si>
  <si>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</si>
  <si>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</si>
  <si>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</si>
  <si>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</si>
  <si>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</si>
  <si>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</si>
  <si>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</si>
  <si>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</si>
  <si>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</si>
  <si>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</si>
  <si>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</si>
  <si>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</si>
  <si>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</si>
  <si>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</si>
  <si>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</si>
  <si>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</si>
  <si>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</si>
  <si>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</si>
  <si>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</si>
  <si>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</si>
  <si>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</si>
  <si>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</si>
  <si>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</si>
  <si>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</si>
  <si>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</si>
  <si>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</si>
  <si>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</si>
  <si>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</si>
  <si>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</si>
  <si>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</si>
  <si>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</si>
  <si>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</si>
  <si>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</si>
  <si>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</si>
  <si>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</si>
  <si>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</si>
  <si>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</si>
  <si>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</si>
  <si>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</si>
  <si>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</si>
  <si>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</si>
  <si>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</si>
  <si>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</si>
  <si>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</si>
  <si>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</si>
  <si>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</si>
  <si>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</si>
  <si>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</si>
  <si>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</si>
  <si>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</si>
  <si>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</si>
  <si>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</si>
  <si>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</si>
  <si>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</si>
  <si>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</si>
  <si>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</si>
  <si>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</si>
  <si>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</si>
  <si>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</si>
  <si>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</si>
  <si>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</si>
  <si>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</si>
  <si>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</si>
  <si>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</si>
  <si>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</si>
  <si>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</si>
  <si>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</si>
  <si>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</si>
  <si>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</si>
  <si>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</si>
  <si>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</si>
  <si>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</si>
  <si>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</si>
  <si>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</si>
  <si>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</si>
  <si>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</si>
  <si>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</si>
  <si>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</si>
  <si>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</si>
  <si>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</si>
  <si>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</si>
  <si>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</si>
  <si>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</si>
  <si>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</si>
  <si>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</si>
  <si>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</si>
  <si>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</si>
  <si>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</si>
  <si>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</si>
  <si>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</si>
  <si>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</si>
  <si>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</si>
  <si>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</si>
  <si>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</si>
  <si>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</si>
  <si>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</si>
  <si>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</si>
  <si>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</si>
  <si>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</si>
  <si>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</si>
  <si>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</si>
  <si>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</si>
  <si>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</si>
  <si>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</si>
  <si>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</si>
  <si>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</si>
  <si>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</si>
  <si>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</si>
  <si>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</si>
  <si>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</si>
  <si>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</si>
  <si>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</si>
  <si>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</si>
  <si>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</si>
  <si>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</si>
  <si>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</si>
  <si>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</si>
  <si>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</si>
  <si>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</si>
  <si>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</si>
  <si>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</si>
  <si>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</si>
  <si>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</si>
  <si>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</si>
  <si>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</si>
  <si>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</si>
  <si>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</si>
  <si>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</si>
  <si>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</si>
  <si>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</si>
  <si>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</si>
  <si>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</si>
  <si>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</si>
  <si>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</si>
  <si>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</si>
  <si>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</si>
  <si>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</si>
  <si>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</si>
  <si>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</si>
  <si>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</si>
  <si>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</si>
  <si>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</si>
  <si>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</si>
  <si>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</si>
  <si>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</si>
  <si>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</si>
  <si>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</si>
  <si>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</si>
  <si>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</si>
  <si>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</si>
  <si>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</si>
  <si>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</si>
  <si>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</si>
  <si>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</si>
  <si>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</si>
  <si>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</si>
  <si>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</si>
  <si>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</si>
  <si>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</si>
  <si>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</si>
  <si>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</si>
  <si>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</si>
  <si>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</si>
  <si>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</si>
  <si>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</si>
  <si>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</si>
  <si>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</si>
  <si>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</si>
  <si>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</si>
  <si>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</si>
  <si>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</si>
  <si>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</si>
  <si>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</si>
  <si>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</si>
  <si>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</si>
  <si>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</si>
  <si>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</si>
  <si>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</si>
  <si>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</si>
  <si>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</si>
  <si>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</si>
  <si>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</si>
  <si>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</si>
  <si>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</si>
  <si>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</si>
  <si>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</si>
  <si>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</si>
  <si>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</si>
  <si>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</si>
  <si>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</si>
  <si>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</si>
  <si>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</si>
  <si>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</si>
  <si>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</si>
  <si>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</si>
  <si>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</si>
  <si>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</si>
  <si>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</si>
  <si>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</si>
  <si>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</si>
  <si>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</si>
  <si>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</si>
  <si>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</si>
  <si>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</si>
  <si>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</si>
  <si>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</si>
  <si>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</si>
  <si>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</si>
  <si>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</si>
  <si>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</si>
  <si>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</si>
  <si>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</si>
  <si>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</si>
  <si>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</si>
  <si>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</si>
  <si>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</si>
  <si>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</si>
  <si>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</si>
  <si>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</si>
  <si>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</si>
  <si>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</si>
  <si>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</si>
  <si>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</si>
  <si>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</si>
  <si>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</si>
  <si>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</si>
  <si>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</si>
  <si>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</si>
  <si>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</si>
  <si>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</si>
  <si>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</si>
  <si>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</si>
  <si>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</si>
  <si>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</si>
  <si>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</si>
  <si>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</si>
  <si>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</si>
  <si>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</si>
  <si>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</si>
  <si>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</si>
  <si>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</si>
  <si>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</si>
  <si>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</si>
  <si>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</si>
  <si>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</si>
  <si>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</si>
  <si>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</si>
  <si>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</si>
  <si>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</si>
  <si>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</si>
  <si>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</si>
  <si>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</si>
  <si>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</si>
  <si>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</si>
  <si>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</si>
  <si>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</si>
  <si>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</si>
  <si>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</si>
  <si>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</si>
  <si>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</si>
  <si>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</si>
  <si>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</si>
  <si>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</si>
  <si>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</si>
  <si>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</si>
  <si>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</si>
  <si>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</si>
  <si>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</si>
  <si>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</si>
  <si>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</si>
  <si>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</si>
  <si>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</si>
  <si>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</si>
  <si>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</si>
  <si>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</si>
  <si>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</si>
  <si>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</si>
  <si>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</si>
  <si>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</si>
  <si>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</si>
  <si>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</si>
  <si>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</si>
  <si>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</si>
  <si>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</si>
  <si>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</si>
  <si>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</si>
  <si>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</si>
  <si>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</si>
  <si>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</si>
  <si>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</si>
  <si>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</si>
  <si>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</si>
  <si>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</si>
  <si>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</si>
  <si>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</si>
  <si>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</si>
  <si>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</si>
  <si>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</si>
  <si>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</si>
  <si>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</si>
  <si>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</si>
  <si>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</si>
  <si>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</si>
  <si>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</si>
  <si>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</si>
  <si>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</si>
  <si>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</si>
  <si>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</si>
  <si>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</si>
  <si>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</si>
  <si>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</si>
  <si>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</si>
  <si>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</si>
  <si>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</si>
  <si>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</si>
  <si>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</si>
  <si>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</si>
  <si>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</si>
  <si>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</si>
  <si>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</si>
  <si>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</si>
  <si>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</si>
  <si>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</si>
  <si>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</si>
  <si>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</si>
  <si>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</si>
  <si>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</si>
  <si>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</si>
  <si>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</si>
  <si>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</si>
  <si>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</si>
  <si>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</si>
  <si>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</si>
  <si>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</si>
  <si>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</si>
  <si>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</si>
  <si>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</si>
  <si>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</si>
  <si>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</si>
  <si>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</si>
  <si>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</si>
  <si>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</si>
  <si>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</si>
  <si>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</si>
  <si>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</si>
  <si>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</si>
  <si>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</si>
  <si>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</si>
  <si>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</si>
  <si>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</si>
  <si>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</si>
  <si>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</si>
  <si>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</si>
  <si>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</si>
  <si>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</si>
  <si>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</si>
  <si>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</si>
  <si>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</si>
  <si>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</si>
  <si>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</si>
  <si>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</si>
  <si>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</si>
  <si>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</si>
  <si>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</si>
  <si>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</si>
  <si>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</si>
  <si>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</si>
  <si>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</si>
  <si>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</si>
  <si>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</si>
  <si>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</si>
  <si>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</si>
  <si>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</si>
  <si>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</si>
  <si>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</si>
  <si>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</si>
  <si>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</si>
  <si>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</si>
  <si>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</si>
  <si>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</si>
  <si>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</si>
  <si>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</si>
  <si>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</si>
  <si>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</si>
  <si>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</si>
  <si>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</si>
  <si>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</si>
  <si>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</si>
  <si>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</si>
  <si>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</si>
  <si>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</si>
  <si>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</si>
  <si>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</si>
  <si>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</si>
  <si>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</si>
  <si>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</si>
  <si>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</si>
  <si>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</si>
  <si>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</si>
  <si>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</si>
  <si>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</si>
  <si>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</si>
  <si>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</si>
  <si>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</si>
  <si>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</si>
  <si>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</si>
  <si>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</si>
  <si>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</si>
  <si>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</si>
  <si>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</si>
  <si>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</si>
  <si>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</si>
  <si>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</si>
  <si>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</si>
  <si>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</si>
  <si>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</si>
  <si>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</si>
  <si>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</si>
  <si>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</si>
  <si>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</si>
  <si>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</si>
  <si>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</si>
  <si>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</si>
  <si>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</si>
  <si>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</si>
  <si>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</si>
  <si>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</si>
  <si>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</si>
  <si>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</si>
  <si>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</si>
  <si>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</si>
  <si>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</si>
  <si>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</si>
  <si>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</si>
  <si>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</si>
  <si>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</si>
  <si>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</si>
  <si>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</si>
  <si>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</si>
  <si>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</si>
  <si>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</si>
  <si>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</si>
  <si>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</si>
  <si>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</si>
  <si>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</si>
  <si>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</si>
  <si>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</si>
  <si>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</si>
  <si>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</si>
  <si>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</si>
  <si>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</si>
  <si>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</si>
  <si>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</si>
  <si>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</si>
  <si>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</si>
  <si>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</si>
  <si>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</si>
  <si>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</si>
  <si>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</si>
  <si>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</si>
  <si>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</si>
  <si>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</si>
  <si>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</si>
  <si>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</si>
  <si>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</si>
  <si>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</si>
  <si>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</si>
  <si>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</si>
  <si>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</si>
  <si>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</si>
  <si>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</si>
  <si>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</si>
  <si>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</si>
  <si>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</si>
  <si>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</si>
  <si>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</si>
  <si>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</si>
  <si>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</si>
  <si>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</si>
  <si>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</si>
  <si>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</si>
  <si>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</si>
  <si>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</si>
  <si>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</si>
  <si>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</si>
  <si>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</si>
  <si>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</si>
  <si>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</si>
  <si>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</si>
  <si>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</si>
  <si>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</si>
  <si>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</si>
  <si>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</si>
  <si>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</si>
  <si>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</si>
  <si>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</si>
  <si>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</si>
  <si>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</si>
  <si>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</si>
  <si>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</si>
  <si>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</si>
  <si>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</si>
  <si>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</si>
  <si>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</si>
  <si>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</si>
  <si>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</si>
  <si>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</si>
  <si>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</si>
  <si>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</si>
  <si>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</si>
  <si>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</si>
  <si>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</si>
  <si>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</si>
  <si>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</si>
  <si>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</si>
  <si>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</si>
  <si>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</si>
  <si>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</si>
  <si>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</si>
  <si>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</si>
  <si>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</si>
  <si>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</si>
  <si>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</si>
  <si>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</si>
  <si>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</si>
  <si>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</si>
  <si>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</si>
  <si>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</si>
  <si>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</si>
  <si>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</si>
  <si>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</si>
  <si>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</si>
  <si>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</si>
  <si>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</si>
  <si>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</si>
  <si>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</si>
  <si>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</si>
  <si>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</si>
  <si>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</si>
  <si>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</si>
  <si>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</si>
  <si>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</si>
  <si>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</si>
  <si>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</si>
  <si>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</si>
  <si>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</si>
  <si>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</si>
  <si>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</si>
  <si>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</si>
  <si>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</si>
  <si>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</si>
  <si>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</si>
  <si>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</si>
  <si>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</si>
  <si>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</si>
  <si>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</si>
  <si>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</si>
  <si>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</si>
  <si>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</si>
  <si>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</si>
  <si>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</si>
  <si>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</si>
  <si>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</si>
  <si>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</si>
  <si>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</si>
  <si>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</si>
  <si>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</si>
  <si>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</si>
  <si>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</si>
  <si>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</si>
  <si>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</si>
  <si>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</si>
  <si>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</si>
  <si>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</si>
  <si>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</si>
  <si>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</si>
  <si>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</si>
  <si>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</si>
  <si>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</si>
  <si>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</si>
  <si>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</si>
  <si>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</si>
  <si>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</si>
  <si>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</si>
  <si>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</si>
  <si>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</si>
  <si>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</si>
  <si>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</si>
  <si>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</si>
  <si>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</si>
  <si>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</si>
  <si>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</si>
  <si>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</si>
  <si>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</si>
  <si>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</si>
  <si>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</si>
  <si>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</si>
  <si>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</si>
  <si>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</si>
  <si>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</si>
  <si>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</si>
  <si>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</si>
  <si>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</si>
  <si>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</si>
  <si>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</si>
  <si>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</si>
  <si>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</si>
  <si>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</si>
  <si>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</si>
  <si>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</si>
  <si>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</si>
  <si>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</si>
  <si>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</si>
  <si>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</si>
  <si>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</si>
  <si>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</si>
  <si>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</si>
  <si>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</si>
  <si>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</si>
  <si>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</si>
  <si>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</si>
  <si>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</si>
  <si>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</si>
  <si>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</si>
  <si>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</si>
  <si>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</si>
  <si>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</si>
  <si>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</si>
  <si>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</si>
  <si>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</si>
  <si>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</si>
  <si>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</si>
  <si>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</si>
  <si>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</si>
  <si>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</si>
  <si>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</si>
  <si>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</si>
  <si>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</si>
  <si>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</si>
  <si>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</si>
  <si>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</si>
  <si>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</si>
  <si>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</si>
  <si>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</si>
  <si>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</si>
  <si>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</si>
  <si>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</si>
  <si>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</si>
  <si>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</si>
  <si>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</si>
  <si>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</si>
  <si>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</si>
  <si>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</si>
  <si>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</si>
  <si>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</si>
  <si>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</si>
  <si>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</si>
  <si>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</si>
  <si>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</si>
  <si>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</si>
  <si>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</si>
  <si>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</si>
  <si>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</si>
  <si>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</si>
  <si>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</si>
  <si>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</si>
  <si>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</si>
  <si>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</si>
  <si>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</si>
  <si>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</si>
  <si>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</si>
  <si>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</si>
  <si>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</si>
  <si>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</si>
  <si>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</si>
  <si>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</si>
  <si>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</si>
  <si>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</si>
  <si>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</si>
  <si>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</si>
  <si>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</si>
  <si>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</si>
  <si>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</si>
  <si>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</si>
  <si>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</si>
  <si>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</si>
  <si>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</si>
  <si>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</si>
  <si>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</si>
  <si>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</si>
  <si>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</si>
  <si>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</si>
  <si>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</si>
  <si>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</si>
  <si>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</si>
  <si>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</si>
  <si>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</si>
  <si>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</si>
  <si>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</si>
  <si>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</si>
  <si>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</si>
  <si>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</si>
  <si>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</si>
  <si>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</si>
  <si>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</si>
  <si>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</si>
  <si>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</si>
  <si>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</si>
  <si>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</si>
  <si>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</si>
  <si>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</si>
  <si>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</si>
  <si>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</si>
  <si>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</si>
  <si>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</si>
  <si>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</si>
  <si>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</si>
  <si>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</si>
  <si>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</si>
  <si>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</si>
  <si>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</si>
  <si>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</si>
  <si>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</si>
  <si>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</si>
  <si>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</si>
  <si>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</si>
  <si>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</si>
  <si>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</si>
  <si>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</si>
  <si>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</si>
  <si>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</si>
  <si>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</si>
  <si>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</si>
  <si>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</si>
  <si>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</si>
  <si>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</si>
  <si>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</si>
  <si>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</si>
  <si>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</si>
  <si>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</si>
  <si>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</si>
  <si>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</si>
  <si>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</si>
  <si>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</si>
  <si>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</si>
  <si>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</si>
  <si>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</si>
  <si>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</si>
  <si>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</si>
  <si>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</si>
  <si>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</si>
  <si>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</si>
  <si>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</si>
  <si>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</si>
  <si>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</si>
  <si>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</si>
  <si>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</si>
  <si>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</si>
  <si>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</si>
  <si>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</si>
  <si>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</si>
  <si>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</si>
  <si>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</si>
  <si>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</si>
  <si>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</si>
  <si>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</si>
  <si>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</si>
  <si>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</si>
  <si>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</si>
  <si>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</si>
  <si>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</si>
  <si>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</si>
  <si>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</si>
  <si>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</si>
  <si>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</si>
  <si>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</si>
  <si>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</si>
  <si>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</si>
  <si>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</si>
  <si>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</si>
  <si>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</si>
  <si>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</si>
  <si>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</si>
  <si>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</si>
  <si>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</si>
  <si>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</si>
  <si>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</si>
  <si>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</si>
  <si>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</si>
  <si>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</si>
  <si>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</si>
  <si>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</si>
  <si>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</si>
  <si>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</si>
  <si>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</si>
  <si>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</si>
  <si>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</si>
  <si>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</si>
  <si>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</si>
  <si>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</si>
  <si>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</si>
  <si>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</si>
  <si>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</si>
  <si>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</si>
  <si>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</si>
  <si>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</si>
  <si>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</si>
  <si>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</si>
  <si>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</si>
  <si>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</si>
  <si>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</si>
  <si>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</si>
  <si>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</si>
  <si>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</si>
  <si>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</si>
  <si>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</si>
  <si>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</si>
  <si>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</si>
  <si>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</si>
  <si>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</si>
  <si>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</si>
  <si>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</si>
  <si>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</si>
  <si>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</si>
  <si>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</si>
  <si>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</si>
  <si>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</si>
  <si>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</si>
  <si>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</si>
  <si>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</si>
  <si>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</si>
  <si>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</si>
  <si>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</si>
  <si>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</si>
  <si>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</si>
  <si>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</si>
  <si>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</si>
  <si>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</si>
  <si>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</si>
  <si>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</si>
  <si>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</si>
  <si>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</si>
  <si>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</si>
  <si>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</si>
  <si>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</si>
  <si>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</si>
  <si>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</si>
  <si>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</si>
  <si>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</si>
  <si>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</si>
  <si>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</si>
  <si>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</si>
  <si>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</si>
  <si>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</si>
  <si>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</si>
  <si>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</si>
  <si>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</si>
  <si>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</si>
  <si>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</si>
  <si>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</si>
  <si>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</si>
  <si>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</si>
  <si>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</si>
  <si>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</si>
  <si>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</si>
  <si>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</si>
  <si>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</si>
  <si>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</si>
  <si>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</si>
  <si>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</si>
  <si>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</si>
  <si>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</si>
  <si>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</si>
  <si>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</si>
  <si>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</si>
  <si>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</si>
  <si>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</si>
  <si>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</si>
  <si>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</si>
  <si>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</si>
  <si>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</si>
  <si>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</si>
  <si>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</si>
  <si>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</si>
  <si>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</si>
  <si>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</si>
  <si>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</si>
  <si>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</si>
  <si>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</si>
  <si>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</si>
  <si>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</si>
  <si>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</si>
  <si>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</si>
  <si>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</si>
  <si>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</si>
  <si>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</si>
  <si>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</si>
  <si>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</si>
  <si>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</si>
  <si>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</si>
  <si>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</si>
  <si>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</si>
  <si>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</si>
  <si>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</si>
  <si>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</si>
  <si>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</si>
  <si>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</si>
  <si>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</si>
  <si>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</si>
  <si>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</si>
  <si>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</si>
  <si>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</si>
  <si>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</si>
  <si>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</si>
  <si>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</si>
  <si>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</si>
  <si>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</si>
  <si>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</si>
  <si>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</si>
  <si>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</si>
  <si>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</si>
  <si>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</si>
  <si>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</si>
  <si>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</si>
  <si>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</si>
  <si>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</si>
  <si>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</si>
  <si>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</si>
  <si>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</si>
  <si>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</si>
  <si>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</si>
  <si>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</si>
  <si>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</si>
  <si>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</si>
  <si>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</si>
  <si>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</si>
  <si>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</si>
  <si>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</si>
  <si>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</si>
  <si>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</si>
  <si>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</si>
  <si>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</si>
  <si>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</si>
  <si>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</si>
  <si>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</si>
  <si>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</si>
  <si>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</si>
  <si>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</si>
  <si>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</si>
  <si>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</si>
  <si>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</si>
  <si>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</si>
  <si>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</si>
  <si>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</si>
  <si>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</si>
  <si>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</si>
  <si>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</si>
  <si>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</si>
  <si>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</si>
  <si>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</si>
  <si>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</si>
  <si>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</si>
  <si>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</si>
  <si>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</si>
  <si>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</si>
  <si>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</si>
  <si>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</si>
  <si>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</si>
  <si>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</si>
  <si>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</si>
  <si>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</si>
  <si>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</si>
  <si>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</si>
  <si>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</si>
  <si>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</si>
  <si>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</si>
  <si>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</si>
  <si>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</si>
  <si>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</si>
  <si>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</si>
  <si>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</si>
  <si>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</si>
  <si>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</si>
  <si>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</si>
  <si>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</si>
  <si>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</si>
  <si>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</si>
  <si>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</si>
  <si>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</si>
  <si>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</si>
  <si>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</si>
  <si>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</si>
  <si>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</si>
  <si>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</si>
  <si>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</si>
  <si>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</si>
  <si>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</si>
  <si>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</si>
  <si>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</si>
  <si>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</si>
  <si>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</si>
  <si>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</si>
  <si>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</si>
  <si>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</si>
  <si>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</si>
  <si>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</si>
  <si>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</si>
  <si>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</si>
  <si>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</si>
  <si>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</si>
  <si>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</si>
  <si>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</si>
  <si>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</si>
  <si>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</si>
  <si>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</si>
  <si>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</si>
  <si>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</si>
  <si>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</si>
  <si>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</si>
  <si>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</si>
  <si>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</si>
  <si>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</si>
  <si>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</si>
  <si>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</si>
  <si>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</si>
  <si>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</si>
  <si>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</si>
  <si>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</si>
  <si>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</si>
  <si>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</si>
  <si>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</si>
  <si>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</si>
  <si>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</si>
  <si>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</si>
  <si>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</si>
  <si>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</si>
  <si>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</si>
  <si>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</si>
  <si>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</si>
  <si>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</si>
  <si>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</si>
  <si>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</si>
  <si>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</si>
  <si>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</si>
  <si>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</si>
  <si>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</si>
  <si>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</si>
  <si>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</si>
  <si>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</si>
  <si>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</si>
  <si>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</si>
  <si>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</si>
  <si>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</si>
  <si>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</si>
  <si>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</si>
  <si>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</si>
  <si>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</si>
  <si>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</si>
  <si>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</si>
  <si>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</si>
  <si>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</si>
  <si>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</si>
  <si>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</si>
  <si>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</si>
  <si>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</si>
  <si>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</si>
  <si>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</si>
  <si>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</si>
  <si>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</si>
  <si>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</si>
  <si>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</si>
  <si>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</si>
  <si>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</si>
  <si>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</si>
  <si>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</si>
  <si>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</si>
  <si>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</si>
  <si>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</si>
  <si>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</si>
  <si>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</si>
  <si>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</si>
  <si>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</si>
  <si>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</si>
  <si>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</si>
  <si>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</si>
  <si>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</si>
  <si>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</si>
  <si>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</si>
  <si>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</si>
  <si>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</si>
  <si>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</si>
  <si>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</si>
  <si>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</si>
  <si>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</si>
  <si>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</si>
  <si>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</si>
  <si>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</si>
  <si>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</si>
  <si>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</si>
  <si>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</si>
  <si>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</si>
  <si>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</si>
  <si>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</si>
  <si>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</si>
  <si>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</si>
  <si>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</si>
  <si>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</si>
  <si>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</si>
  <si>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</si>
  <si>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</si>
  <si>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</si>
  <si>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</si>
  <si>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</si>
  <si>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</si>
  <si>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</si>
  <si>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</si>
  <si>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</si>
  <si>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</si>
  <si>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</si>
  <si>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</si>
  <si>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</si>
  <si>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</si>
  <si>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</si>
  <si>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</si>
  <si>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</si>
  <si>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</si>
  <si>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</si>
  <si>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</si>
  <si>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</si>
  <si>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</si>
  <si>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</si>
  <si>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</si>
  <si>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</si>
  <si>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</si>
  <si>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</si>
  <si>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</si>
  <si>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</si>
  <si>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</si>
  <si>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</si>
  <si>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</si>
  <si>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</si>
  <si>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</si>
  <si>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</si>
  <si>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</si>
  <si>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</si>
  <si>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</si>
  <si>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</si>
  <si>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</si>
  <si>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</si>
  <si>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</si>
  <si>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</si>
  <si>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</si>
  <si>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</si>
  <si>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</si>
  <si>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</si>
  <si>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</si>
  <si>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</si>
  <si>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</si>
  <si>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</si>
  <si>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</si>
  <si>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</si>
  <si>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</si>
  <si>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</si>
  <si>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</si>
  <si>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</si>
  <si>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</si>
  <si>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</si>
  <si>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</si>
  <si>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</si>
  <si>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</si>
  <si>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</si>
  <si>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</si>
  <si>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</si>
  <si>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</si>
  <si>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</si>
  <si>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</si>
  <si>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</si>
  <si>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</si>
  <si>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</si>
  <si>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</si>
  <si>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</si>
  <si>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</si>
  <si>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</si>
  <si>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</si>
  <si>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</si>
  <si>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</si>
  <si>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</si>
  <si>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</si>
  <si>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</si>
  <si>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</si>
  <si>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</si>
  <si>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</si>
  <si>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</si>
  <si>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</si>
  <si>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</si>
  <si>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</si>
  <si>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</si>
  <si>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</si>
  <si>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</si>
  <si>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</si>
  <si>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</si>
  <si>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</si>
  <si>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</si>
  <si>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</si>
  <si>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</si>
  <si>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</si>
  <si>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</si>
  <si>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</si>
  <si>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</si>
  <si>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</si>
  <si>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</si>
  <si>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</si>
  <si>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</si>
  <si>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</si>
  <si>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</si>
  <si>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</si>
  <si>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</si>
  <si>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</si>
  <si>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</si>
  <si>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</si>
  <si>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</si>
  <si>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</si>
  <si>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</si>
  <si>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</si>
  <si>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</si>
  <si>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</si>
  <si>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</si>
  <si>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</si>
  <si>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</si>
  <si>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</si>
  <si>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</si>
  <si>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</si>
  <si>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</si>
  <si>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</si>
  <si>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</si>
  <si>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</si>
  <si>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</si>
  <si>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</si>
  <si>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</si>
  <si>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</si>
  <si>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</si>
  <si>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</si>
  <si>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</si>
  <si>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</si>
  <si>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</si>
  <si>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</si>
  <si>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</si>
  <si>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</si>
  <si>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</si>
  <si>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</si>
  <si>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</si>
  <si>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</si>
  <si>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</si>
  <si>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</si>
  <si>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</si>
  <si>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</si>
  <si>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</si>
  <si>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</si>
  <si>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</si>
  <si>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</si>
  <si>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</si>
  <si>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</si>
  <si>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</si>
  <si>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</si>
  <si>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</si>
  <si>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</si>
  <si>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</si>
  <si>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</si>
  <si>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</si>
  <si>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</si>
  <si>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</si>
  <si>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</si>
  <si>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</si>
  <si>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</si>
  <si>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</si>
  <si>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</si>
  <si>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</si>
  <si>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</si>
  <si>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</si>
  <si>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</si>
  <si>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</si>
  <si>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</si>
  <si>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</si>
  <si>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</si>
  <si>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</si>
  <si>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</si>
  <si>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</si>
  <si>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</si>
  <si>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</si>
  <si>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</si>
  <si>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</si>
  <si>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</si>
  <si>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</si>
  <si>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</si>
  <si>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</si>
  <si>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</si>
  <si>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</si>
  <si>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</si>
  <si>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</si>
  <si>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</si>
  <si>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</si>
  <si>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</si>
  <si>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</si>
  <si>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</si>
  <si>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</si>
  <si>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</si>
  <si>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</si>
  <si>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</si>
  <si>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</si>
  <si>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</si>
  <si>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</si>
  <si>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</si>
  <si>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</si>
  <si>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</si>
  <si>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</si>
  <si>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</si>
  <si>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</si>
  <si>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</si>
  <si>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</si>
  <si>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</si>
  <si>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</si>
  <si>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</si>
  <si>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</si>
  <si>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</si>
  <si>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</si>
  <si>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</si>
  <si>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</si>
  <si>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</si>
  <si>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</si>
  <si>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</si>
  <si>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</si>
  <si>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</si>
  <si>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</si>
  <si>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</si>
  <si>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</si>
  <si>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</si>
  <si>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</si>
  <si>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</si>
  <si>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</si>
  <si>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</si>
  <si>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</si>
  <si>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</si>
  <si>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</si>
  <si>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</si>
  <si>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</si>
  <si>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</si>
  <si>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</si>
  <si>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</si>
  <si>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</si>
  <si>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</si>
  <si>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</si>
  <si>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</si>
  <si>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</si>
  <si>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</si>
  <si>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</si>
  <si>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</si>
  <si>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</si>
  <si>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</si>
  <si>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</si>
  <si>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</si>
  <si>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</si>
  <si>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</si>
  <si>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</si>
  <si>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</si>
  <si>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</si>
  <si>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</si>
  <si>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</si>
  <si>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</si>
  <si>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</si>
  <si>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</si>
  <si>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</si>
  <si>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</si>
  <si>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</si>
  <si>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</si>
  <si>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</si>
  <si>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</si>
  <si>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</si>
  <si>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</si>
  <si>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</si>
  <si>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</si>
  <si>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</si>
  <si>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</si>
  <si>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</si>
  <si>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</si>
  <si>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</si>
  <si>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</si>
  <si>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</si>
  <si>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</si>
  <si>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</si>
  <si>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</si>
  <si>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</si>
  <si>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</si>
  <si>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</si>
  <si>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</si>
  <si>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</si>
  <si>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</si>
  <si>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</si>
  <si>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</si>
  <si>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</si>
  <si>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</si>
  <si>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</si>
  <si>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</si>
  <si>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</si>
  <si>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</si>
  <si>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</si>
  <si>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</si>
  <si>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</si>
  <si>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</si>
  <si>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</si>
  <si>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</si>
  <si>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</si>
  <si>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</si>
  <si>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</si>
  <si>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</si>
  <si>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</si>
  <si>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</si>
  <si>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</si>
  <si>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</si>
  <si>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</si>
  <si>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</si>
  <si>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</si>
  <si>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</si>
  <si>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</si>
  <si>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</si>
  <si>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</si>
  <si>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</si>
  <si>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</si>
  <si>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</si>
  <si>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</si>
  <si>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</si>
  <si>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</si>
  <si>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</si>
  <si>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</si>
  <si>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</si>
  <si>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</si>
  <si>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</si>
  <si>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</si>
  <si>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</si>
  <si>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</si>
  <si>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</si>
  <si>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</si>
  <si>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</si>
  <si>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</si>
  <si>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</si>
  <si>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</si>
  <si>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</si>
  <si>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</si>
  <si>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</si>
  <si>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</si>
  <si>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</si>
  <si>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</si>
  <si>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</si>
  <si>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</si>
  <si>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</si>
  <si>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</si>
  <si>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</si>
  <si>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</si>
  <si>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</si>
  <si>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</si>
  <si>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</si>
  <si>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</si>
  <si>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</si>
  <si>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</si>
  <si>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</si>
  <si>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</si>
  <si>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</si>
  <si>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</si>
  <si>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</si>
  <si>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</si>
  <si>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</si>
  <si>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</si>
  <si>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</si>
  <si>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</si>
  <si>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</si>
  <si>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</si>
  <si>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</si>
  <si>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</si>
  <si>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</si>
  <si>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</si>
  <si>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</si>
  <si>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</si>
  <si>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</si>
  <si>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</si>
  <si>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</si>
  <si>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</si>
  <si>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</si>
  <si>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</si>
  <si>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</si>
  <si>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</si>
  <si>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</si>
  <si>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</si>
  <si>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</si>
  <si>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</si>
  <si>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</si>
  <si>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</si>
  <si>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</si>
  <si>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</si>
  <si>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</si>
  <si>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</si>
  <si>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</si>
  <si>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</si>
  <si>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</si>
  <si>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</si>
  <si>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</si>
  <si>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</si>
  <si>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</si>
  <si>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</si>
  <si>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</si>
  <si>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</si>
  <si>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</si>
  <si>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</si>
  <si>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</si>
  <si>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</si>
  <si>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</si>
  <si>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</si>
  <si>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</si>
  <si>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</si>
  <si>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</si>
  <si>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</si>
  <si>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</si>
  <si>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</si>
  <si>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</si>
  <si>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</si>
  <si>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</si>
  <si>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</si>
  <si>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</si>
  <si>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</si>
  <si>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</si>
  <si>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</si>
  <si>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</si>
  <si>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</si>
  <si>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</si>
  <si>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</si>
  <si>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</si>
  <si>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</si>
  <si>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</si>
  <si>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</si>
  <si>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</si>
  <si>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</si>
  <si>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</si>
  <si>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</si>
  <si>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</si>
  <si>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</si>
  <si>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</si>
  <si>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</si>
  <si>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</si>
  <si>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</si>
  <si>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</si>
  <si>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</si>
  <si>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</si>
  <si>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</si>
  <si>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</si>
  <si>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</si>
  <si>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</si>
  <si>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</si>
  <si>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</si>
  <si>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</si>
  <si>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</si>
  <si>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</si>
  <si>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</si>
  <si>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</si>
  <si>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</si>
  <si>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</si>
  <si>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</si>
  <si>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</si>
  <si>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</si>
  <si>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</si>
  <si>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</si>
  <si>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</si>
  <si>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</si>
  <si>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</si>
  <si>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</si>
  <si>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</si>
  <si>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</si>
  <si>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</si>
  <si>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</si>
  <si>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</si>
  <si>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</si>
  <si>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</si>
  <si>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</si>
  <si>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</si>
  <si>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</si>
  <si>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</si>
  <si>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</si>
  <si>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</si>
  <si>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</si>
  <si>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</si>
  <si>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</si>
  <si>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</si>
  <si>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</si>
  <si>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</si>
  <si>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</si>
  <si>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</si>
  <si>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</si>
  <si>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</si>
  <si>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</si>
  <si>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</si>
  <si>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</si>
  <si>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</si>
  <si>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</si>
  <si>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</si>
  <si>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</si>
  <si>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</si>
  <si>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</si>
  <si>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</si>
  <si>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</si>
  <si>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</si>
  <si>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</si>
  <si>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</si>
  <si>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</si>
  <si>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</si>
  <si>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</si>
  <si>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</si>
  <si>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</si>
  <si>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</si>
  <si>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</si>
  <si>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</si>
  <si>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</si>
  <si>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</si>
  <si>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</si>
  <si>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</si>
  <si>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</si>
  <si>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</si>
  <si>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</si>
  <si>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</si>
  <si>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</si>
  <si>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</si>
  <si>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</si>
  <si>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</si>
  <si>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</si>
  <si>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</si>
  <si>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</si>
  <si>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</si>
  <si>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</si>
  <si>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</si>
  <si>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</si>
  <si>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</si>
  <si>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</si>
  <si>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</si>
  <si>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</si>
  <si>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</si>
  <si>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</si>
  <si>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</si>
  <si>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</si>
  <si>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</si>
  <si>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</si>
  <si>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</si>
  <si>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</si>
  <si>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</si>
  <si>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</si>
  <si>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</si>
  <si>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</si>
  <si>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</si>
  <si>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</si>
  <si>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</si>
  <si>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</si>
  <si>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</si>
  <si>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</si>
  <si>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</si>
  <si>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</si>
  <si>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</si>
  <si>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</si>
  <si>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</si>
  <si>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</si>
  <si>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</si>
  <si>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</si>
  <si>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</si>
  <si>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</si>
  <si>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</si>
  <si>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</si>
  <si>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</si>
  <si>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</si>
  <si>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</si>
  <si>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</si>
  <si>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</si>
  <si>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</si>
  <si>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</si>
  <si>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</si>
  <si>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</si>
  <si>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</si>
  <si>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</si>
  <si>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</si>
  <si>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</si>
  <si>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</si>
  <si>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</si>
  <si>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</si>
  <si>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</si>
  <si>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</si>
  <si>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</si>
  <si>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</si>
  <si>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</si>
  <si>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</si>
  <si>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</si>
  <si>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</si>
  <si>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</si>
  <si>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</si>
  <si>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</si>
  <si>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</si>
  <si>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</si>
  <si>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</si>
  <si>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</si>
  <si>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</si>
  <si>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</si>
  <si>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</si>
  <si>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</si>
  <si>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</si>
  <si>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</si>
  <si>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</si>
  <si>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</si>
  <si>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</si>
  <si>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</si>
  <si>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</si>
  <si>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</si>
  <si>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</si>
  <si>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</si>
  <si>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</si>
  <si>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</si>
  <si>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</si>
  <si>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</si>
  <si>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</si>
  <si>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</si>
  <si>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</si>
  <si>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</si>
  <si>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</si>
  <si>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</si>
  <si>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</si>
  <si>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</si>
  <si>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</si>
  <si>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</si>
  <si>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</si>
  <si>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</si>
  <si>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</si>
  <si>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</si>
  <si>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</si>
  <si>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</si>
  <si>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</si>
  <si>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</si>
  <si>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</si>
  <si>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</si>
  <si>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</si>
  <si>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</si>
  <si>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</si>
  <si>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</si>
  <si>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</si>
  <si>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</si>
  <si>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</si>
  <si>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</si>
  <si>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</si>
  <si>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</si>
  <si>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</si>
  <si>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</si>
  <si>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</si>
  <si>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</si>
  <si>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</si>
  <si>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</si>
  <si>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</si>
  <si>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</si>
  <si>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</si>
  <si>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</si>
  <si>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</si>
  <si>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</si>
  <si>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</si>
  <si>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</si>
  <si>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</si>
  <si>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</si>
  <si>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</si>
  <si>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</si>
  <si>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</si>
  <si>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</si>
  <si>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</si>
  <si>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</si>
  <si>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</si>
  <si>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</si>
  <si>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</si>
  <si>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</si>
  <si>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</si>
  <si>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</si>
  <si>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</si>
  <si>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</si>
  <si>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</si>
  <si>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</si>
  <si>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</si>
  <si>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</si>
  <si>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</si>
  <si>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</si>
  <si>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</si>
  <si>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</si>
  <si>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</si>
  <si>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</si>
  <si>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</si>
  <si>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</si>
  <si>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</si>
  <si>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</si>
  <si>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</si>
  <si>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</si>
  <si>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</si>
  <si>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</si>
  <si>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</si>
  <si>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</si>
  <si>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</si>
  <si>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</si>
  <si>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</si>
  <si>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</si>
  <si>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</si>
  <si>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</si>
  <si>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</si>
  <si>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</si>
  <si>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</si>
  <si>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</si>
  <si>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</si>
  <si>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</si>
  <si>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</si>
  <si>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</si>
  <si>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</si>
  <si>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</si>
  <si>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</si>
  <si>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</si>
  <si>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</si>
  <si>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</si>
  <si>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</si>
  <si>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</si>
  <si>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</si>
  <si>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</si>
  <si>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</si>
  <si>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</si>
  <si>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</si>
  <si>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</si>
  <si>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</si>
  <si>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</si>
  <si>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</si>
  <si>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</si>
  <si>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</si>
  <si>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</si>
  <si>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</si>
  <si>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</si>
  <si>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</si>
  <si>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</si>
  <si>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</si>
  <si>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</si>
  <si>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</si>
  <si>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</si>
  <si>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</si>
  <si>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</si>
  <si>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</si>
  <si>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</si>
  <si>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</si>
  <si>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</si>
  <si>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</si>
  <si>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</si>
  <si>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</si>
  <si>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</si>
  <si>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</si>
  <si>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</si>
  <si>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</si>
  <si>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</si>
  <si>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</si>
  <si>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</si>
  <si>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</si>
  <si>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</si>
  <si>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</si>
  <si>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</si>
  <si>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</si>
  <si>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</si>
  <si>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</si>
  <si>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</si>
  <si>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</si>
  <si>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</si>
  <si>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</si>
  <si>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</si>
  <si>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</si>
  <si>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</si>
  <si>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</si>
  <si>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</si>
  <si>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</si>
  <si>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</si>
  <si>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</si>
  <si>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</si>
  <si>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</si>
  <si>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</si>
  <si>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</si>
  <si>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</si>
  <si>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</si>
  <si>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</si>
  <si>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</si>
  <si>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</si>
  <si>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</si>
  <si>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</si>
  <si>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</si>
  <si>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</si>
  <si>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</si>
  <si>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</si>
  <si>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</si>
  <si>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</si>
  <si>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</si>
  <si>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</si>
  <si>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</si>
  <si>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</si>
  <si>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</si>
  <si>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</si>
  <si>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</si>
  <si>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</si>
  <si>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</si>
  <si>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</si>
  <si>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</si>
  <si>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</si>
  <si>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</si>
  <si>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</si>
  <si>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</si>
  <si>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</si>
  <si>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</si>
  <si>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</si>
  <si>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</si>
  <si>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</si>
  <si>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</si>
  <si>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</si>
  <si>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</si>
  <si>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</si>
  <si>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</si>
  <si>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</si>
  <si>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</si>
  <si>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</si>
  <si>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Orders</t>
  </si>
  <si>
    <t>Sum of Quantity</t>
  </si>
  <si>
    <t>Sum of Amount</t>
  </si>
  <si>
    <t>Count of TX ID</t>
  </si>
  <si>
    <t>Average of Rating C</t>
  </si>
  <si>
    <t>Average of Days to Deliver</t>
  </si>
  <si>
    <t>Values for Display</t>
  </si>
  <si>
    <t>Qty</t>
  </si>
  <si>
    <t>Avg.Days</t>
  </si>
  <si>
    <t>Avg.Rating</t>
  </si>
  <si>
    <t>Unknown</t>
  </si>
  <si>
    <t>Male</t>
  </si>
  <si>
    <t>Female</t>
  </si>
  <si>
    <t>Other</t>
  </si>
  <si>
    <t>Row Labels</t>
  </si>
  <si>
    <t>Grand Total</t>
  </si>
  <si>
    <t>Column Labels</t>
  </si>
  <si>
    <t>For matrix</t>
  </si>
  <si>
    <t>Fe</t>
  </si>
  <si>
    <t>Ma</t>
  </si>
  <si>
    <t>Oth</t>
  </si>
  <si>
    <t>Unk</t>
  </si>
  <si>
    <t>order quality analysis</t>
  </si>
  <si>
    <t>6 TO 10</t>
  </si>
  <si>
    <t>More than 10</t>
  </si>
  <si>
    <t>for trends</t>
  </si>
  <si>
    <t>products by quality</t>
  </si>
  <si>
    <t>Geographical analysis</t>
  </si>
  <si>
    <t>Map chart for qty</t>
  </si>
  <si>
    <t>Map chart for amount</t>
  </si>
  <si>
    <t>shipment duration analysis</t>
  </si>
  <si>
    <t>Customer satisfaction</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</si>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</sst>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C09]#,##0"/>
  </numFmts>
  <fonts count="1" x14ac:knownFonts="1">
    <font>
      <sz val="11"/>
      <color theme="1"/>
      <name val="Aptos Narrow"/>
      <family val="2"/>
      <scheme val="minor"/>
    </font>
  </fonts>
  <fills count="3">
    <fill>
      <patternFill patternType="none"/>
    </fill>
    <fill>
      <patternFill patternType="gray125"/>
    </fill>
    <fill>
      <patternFill patternType="solid">
        <fgColor theme="9"/>
        <bgColor indexed="64"/>
      </patternFill>
    </fill>
  </fills>
  <borders count="10">
    <border>
      <left/>
      <right/>
      <top/>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1">
    <xf numFmtId="0" fontId="0" fillId="0" borderId="0"/>
  </cellStyleXfs>
  <cellXfs count="18">
    <xf numFmtId="0" fontId="0" fillId="0" borderId="0" xfId="0"/>
    <xf numFmtId="15" fontId="0" fillId="0" borderId="0" xfId="0" applyNumberFormat="1"/>
    <xf numFmtId="0" fontId="0" fillId="2" borderId="0" xfId="0" applyFill="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applyAlignment="1">
      <alignment horizontal="center"/>
    </xf>
    <xf numFmtId="0" fontId="0" fillId="0" borderId="1" xfId="0" applyBorder="1"/>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164" fontId="0" fillId="0" borderId="5" xfId="0" applyNumberFormat="1" applyBorder="1" applyAlignment="1">
      <alignment horizontal="center"/>
    </xf>
    <xf numFmtId="164" fontId="0" fillId="0" borderId="6" xfId="0" applyNumberFormat="1" applyBorder="1" applyAlignment="1">
      <alignment horizontal="center"/>
    </xf>
    <xf numFmtId="0" fontId="0" fillId="0" borderId="7" xfId="0" applyBorder="1" applyAlignment="1">
      <alignment horizontal="left"/>
    </xf>
    <xf numFmtId="164" fontId="0" fillId="0" borderId="8" xfId="0" applyNumberFormat="1" applyBorder="1" applyAlignment="1">
      <alignment horizontal="center"/>
    </xf>
    <xf numFmtId="164" fontId="0" fillId="0" borderId="9" xfId="0" applyNumberFormat="1" applyBorder="1" applyAlignment="1">
      <alignment horizontal="center"/>
    </xf>
    <xf numFmtId="165" fontId="0" fillId="0" borderId="0" xfId="0" applyNumberFormat="1"/>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colors>
    <mruColors>
      <color rgb="FF008000"/>
      <color rgb="FF009900"/>
      <color rgb="FFFDD6CB"/>
      <color rgb="FFF34819"/>
      <color rgb="FFFAA790"/>
      <color rgb="FFFDDFD7"/>
      <color rgb="FFD67A2E"/>
      <color rgb="FF67F77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[Ecommrence-Sales-Dashboard.xlsx]pivots1!pvtQty</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Quantity</a:t>
            </a:r>
            <a:r>
              <a:rPr lang="en-US" b="1" baseline="0"/>
              <a:t>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solidFill>
              <a:schemeClr val="accent1">
                <a:shade val="15000"/>
                <a:alpha val="9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pivots1!$B$25</c:f>
              <c:strCache>
                <c:ptCount val="1"/>
                <c:pt idx="0">
                  <c:v>Total</c:v>
                </c:pt>
              </c:strCache>
            </c:strRef>
          </c:tx>
          <c:spPr>
            <a:solidFill>
              <a:schemeClr val="accent1">
                <a:lumMod val="75000"/>
              </a:schemeClr>
            </a:solidFill>
            <a:ln>
              <a:solidFill>
                <a:schemeClr val="accent1">
                  <a:shade val="15000"/>
                  <a:alpha val="99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pivots1!$A$26:$A$33</c:f>
              <c:strCache>
                <c:ptCount val="7"/>
                <c:pt idx="0">
                  <c:v>1</c:v>
                </c:pt>
                <c:pt idx="1">
                  <c:v>2</c:v>
                </c:pt>
                <c:pt idx="2">
                  <c:v>3</c:v>
                </c:pt>
                <c:pt idx="3">
                  <c:v>4</c:v>
                </c:pt>
                <c:pt idx="4">
                  <c:v>5</c:v>
                </c:pt>
                <c:pt idx="5">
                  <c:v>6 TO 10</c:v>
                </c:pt>
                <c:pt idx="6">
                  <c:v>More than 10</c:v>
                </c:pt>
              </c:strCache>
            </c:strRef>
          </c:cat>
          <c:val>
            <c:numRef>
              <c:f>pivots1!$B$26:$B$33</c:f>
              <c:numCache>
                <c:formatCode>General</c:formatCode>
                <c:ptCount val="7"/>
                <c:pt idx="0">
                  <c:v>16</c:v>
                </c:pt>
                <c:pt idx="1">
                  <c:v>26</c:v>
                </c:pt>
                <c:pt idx="2">
                  <c:v>27</c:v>
                </c:pt>
                <c:pt idx="3">
                  <c:v>13</c:v>
                </c:pt>
                <c:pt idx="4">
                  <c:v>12</c:v>
                </c:pt>
                <c:pt idx="5">
                  <c:v>29</c:v>
                </c:pt>
                <c:pt idx="6">
                  <c:v>16</c:v>
                </c:pt>
              </c:numCache>
            </c:numRef>
          </c:val>
          <c:extLst>
            <c:ext xmlns:c16="http://schemas.microsoft.com/office/drawing/2014/chart" uri="{C3380CC4-5D6E-409C-BE32-E72D297353CC}">
              <c16:uniqueId val="{00000000-896D-45B8-9FF6-F1A5676D6ECB}"/>
            </c:ext>
          </c:extLst>
        </c:ser>
        <c:dLbls>
          <c:dLblPos val="outEnd"/>
          <c:showLegendKey val="0"/>
          <c:showVal val="1"/>
          <c:showCatName val="0"/>
          <c:showSerName val="0"/>
          <c:showPercent val="0"/>
          <c:showBubbleSize val="0"/>
        </c:dLbls>
        <c:gapWidth val="0"/>
        <c:axId val="1488240079"/>
        <c:axId val="1488240559"/>
      </c:barChart>
      <c:catAx>
        <c:axId val="14882400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240559"/>
        <c:crosses val="autoZero"/>
        <c:auto val="1"/>
        <c:lblAlgn val="ctr"/>
        <c:lblOffset val="100"/>
        <c:noMultiLvlLbl val="0"/>
      </c:catAx>
      <c:valAx>
        <c:axId val="1488240559"/>
        <c:scaling>
          <c:orientation val="minMax"/>
        </c:scaling>
        <c:delete val="1"/>
        <c:axPos val="l"/>
        <c:numFmt formatCode="General" sourceLinked="1"/>
        <c:majorTickMark val="out"/>
        <c:minorTickMark val="none"/>
        <c:tickLblPos val="nextTo"/>
        <c:crossAx val="1488240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[Ecommrence-Sales-Dashboard.xlsx]pivots1!pvtTrend</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Trend (Last 13 Weeks)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pivots1!$B$8</c:f>
              <c:strCache>
                <c:ptCount val="1"/>
                <c:pt idx="0">
                  <c:v>Sum of Quantity</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pivots1!$A$9:$A$22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pivots1!$B$9:$B$22</c:f>
              <c:numCache>
                <c:formatCode>General</c:formatCode>
                <c:ptCount val="13"/>
                <c:pt idx="0">
                  <c:v>16</c:v>
                </c:pt>
                <c:pt idx="1">
                  <c:v>85</c:v>
                </c:pt>
                <c:pt idx="2">
                  <c:v>50</c:v>
                </c:pt>
                <c:pt idx="3">
                  <c:v>88</c:v>
                </c:pt>
                <c:pt idx="4">
                  <c:v>80</c:v>
                </c:pt>
                <c:pt idx="5">
                  <c:v>57</c:v>
                </c:pt>
                <c:pt idx="6">
                  <c:v>52</c:v>
                </c:pt>
                <c:pt idx="7">
                  <c:v>66</c:v>
                </c:pt>
                <c:pt idx="8">
                  <c:v>36</c:v>
                </c:pt>
                <c:pt idx="9">
                  <c:v>37</c:v>
                </c:pt>
                <c:pt idx="10">
                  <c:v>87</c:v>
                </c:pt>
                <c:pt idx="11">
                  <c:v>66</c:v>
                </c:pt>
                <c:pt idx="12">
                  <c:v>69</c:v>
                </c:pt>
              </c:numCache>
            </c:numRef>
          </c:val>
          <c:smooth val="0"/>
          <c:extLst>
            <c:ext xmlns:c16="http://schemas.microsoft.com/office/drawing/2014/chart" uri="{C3380CC4-5D6E-409C-BE32-E72D297353CC}">
              <c16:uniqueId val="{00000000-BC4D-4CD2-B9F7-B1FE1B0CD044}"/>
            </c:ext>
          </c:extLst>
        </c:ser>
        <c:dLbls>
          <c:showLegendKey val="0"/>
          <c:showVal val="0"/>
          <c:showCatName val="0"/>
          <c:showSerName val="0"/>
          <c:showPercent val="0"/>
          <c:showBubbleSize val="0"/>
        </c:dLbls>
        <c:marker val="1"/>
        <c:smooth val="0"/>
        <c:axId val="410437199"/>
        <c:axId val="242089999"/>
      </c:lineChart>
      <c:lineChart>
        <c:grouping val="standard"/>
        <c:varyColors val="0"/>
        <c:ser>
          <c:idx val="1"/>
          <c:order val="1"/>
          <c:tx>
            <c:strRef>
              <c:f>pivots1!$C$8</c:f>
              <c:strCache>
                <c:ptCount val="1"/>
                <c:pt idx="0">
                  <c:v>Sum of Amount</c:v>
                </c:pt>
              </c:strCache>
            </c:strRef>
          </c:tx>
          <c:spPr>
            <a:ln w="28575" cap="rnd">
              <a:solidFill>
                <a:schemeClr val="accent5"/>
              </a:solidFill>
              <a:round/>
            </a:ln>
            <a:effectLst/>
          </c:spPr>
          <c:marker>
            <c:symbol val="none"/>
          </c:marker>
          <c:cat>
            <c:strRef>
              <c:f>pivots1!$A$9:$A$22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pivots1!$C$9:$C$22</c:f>
              <c:numCache>
                <c:formatCode>[$$-C09]#,##0</c:formatCode>
                <c:ptCount val="13"/>
                <c:pt idx="0">
                  <c:v>1590.2000000000003</c:v>
                </c:pt>
                <c:pt idx="1">
                  <c:v>3536.7999999999997</c:v>
                </c:pt>
                <c:pt idx="2">
                  <c:v>2051.4</c:v>
                </c:pt>
                <c:pt idx="3">
                  <c:v>4295.3</c:v>
                </c:pt>
                <c:pt idx="4">
                  <c:v>4311.8</c:v>
                </c:pt>
                <c:pt idx="5">
                  <c:v>4235.7999999999993</c:v>
                </c:pt>
                <c:pt idx="6">
                  <c:v>2621.6</c:v>
                </c:pt>
                <c:pt idx="7">
                  <c:v>4245.3999999999996</c:v>
                </c:pt>
                <c:pt idx="8">
                  <c:v>1537.6999999999998</c:v>
                </c:pt>
                <c:pt idx="9">
                  <c:v>1850.5</c:v>
                </c:pt>
                <c:pt idx="10">
                  <c:v>5687.3</c:v>
                </c:pt>
                <c:pt idx="11">
                  <c:v>2046.9</c:v>
                </c:pt>
                <c:pt idx="12">
                  <c:v>3199.5</c:v>
                </c:pt>
              </c:numCache>
            </c:numRef>
          </c:val>
          <c:smooth val="0"/>
          <c:extLst>
            <c:ext xmlns:c16="http://schemas.microsoft.com/office/drawing/2014/chart" uri="{C3380CC4-5D6E-409C-BE32-E72D297353CC}">
              <c16:uniqueId val="{00000001-BC4D-4CD2-B9F7-B1FE1B0CD044}"/>
            </c:ext>
          </c:extLst>
        </c:ser>
        <c:dLbls>
          <c:showLegendKey val="0"/>
          <c:showVal val="0"/>
          <c:showCatName val="0"/>
          <c:showSerName val="0"/>
          <c:showPercent val="0"/>
          <c:showBubbleSize val="0"/>
        </c:dLbls>
        <c:marker val="1"/>
        <c:smooth val="0"/>
        <c:axId val="410497983"/>
        <c:axId val="242052079"/>
      </c:lineChart>
      <c:catAx>
        <c:axId val="41043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089999"/>
        <c:crosses val="autoZero"/>
        <c:auto val="1"/>
        <c:lblAlgn val="ctr"/>
        <c:lblOffset val="100"/>
        <c:noMultiLvlLbl val="0"/>
      </c:catAx>
      <c:valAx>
        <c:axId val="242089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437199"/>
        <c:crosses val="autoZero"/>
        <c:crossBetween val="between"/>
      </c:valAx>
      <c:valAx>
        <c:axId val="242052079"/>
        <c:scaling>
          <c:orientation val="minMax"/>
        </c:scaling>
        <c:delete val="0"/>
        <c:axPos val="r"/>
        <c:numFmt formatCode="[$$-C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497983"/>
        <c:crosses val="max"/>
        <c:crossBetween val="between"/>
      </c:valAx>
      <c:catAx>
        <c:axId val="410497983"/>
        <c:scaling>
          <c:orientation val="minMax"/>
        </c:scaling>
        <c:delete val="1"/>
        <c:axPos val="b"/>
        <c:numFmt formatCode="General" sourceLinked="1"/>
        <c:majorTickMark val="out"/>
        <c:minorTickMark val="none"/>
        <c:tickLblPos val="nextTo"/>
        <c:crossAx val="24205207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[Ecommrence-Sales-Dashboard.xlsx]pivots1!pvtProduct</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Selling Products</a:t>
            </a:r>
            <a:endParaRPr lang="en-IN" b="1"/>
          </a:p>
        </c:rich>
      </c:tx>
      <c:layout>
        <c:manualLayout>
          <c:xMode val="edge"/>
          <c:yMode val="edge"/>
          <c:x val="0.1434026776330461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s>
    <c:plotArea>
      <c:layout>
        <c:manualLayout>
          <c:layoutTarget val="inner"/>
          <c:xMode val="edge"/>
          <c:yMode val="edge"/>
          <c:x val="3.7147106780531951E-2"/>
          <c:y val="0.13959899777394905"/>
          <c:w val="0.70834380456096935"/>
          <c:h val="0.84341918239035762"/>
        </c:manualLayout>
      </c:layout>
      <c:barChart>
        <c:barDir val="bar"/>
        <c:grouping val="stacked"/>
        <c:varyColors val="1"/>
        <c:ser>
          <c:idx val="0"/>
          <c:order val="0"/>
          <c:tx>
            <c:strRef>
              <c:f>pivots1!$B$40:$B$41</c:f>
              <c:strCache>
                <c:ptCount val="1"/>
                <c:pt idx="0">
                  <c:v>Male</c:v>
                </c:pt>
              </c:strCache>
            </c:strRef>
          </c:tx>
          <c:spPr>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9E9-4DEA-9855-E20EF530A28E}"/>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D9E9-4DEA-9855-E20EF530A28E}"/>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5-D9E9-4DEA-9855-E20EF530A28E}"/>
              </c:ext>
            </c:extLst>
          </c:dPt>
          <c:dPt>
            <c:idx val="3"/>
            <c:invertIfNegative val="0"/>
            <c:bubble3D val="0"/>
            <c:spPr>
              <a:solidFill>
                <a:schemeClr val="accent1">
                  <a:lumMod val="60000"/>
                </a:schemeClr>
              </a:solidFill>
              <a:ln>
                <a:noFill/>
              </a:ln>
              <a:effectLst/>
            </c:spPr>
            <c:extLst>
              <c:ext xmlns:c16="http://schemas.microsoft.com/office/drawing/2014/chart" uri="{C3380CC4-5D6E-409C-BE32-E72D297353CC}">
                <c16:uniqueId val="{00000007-D9E9-4DEA-9855-E20EF530A28E}"/>
              </c:ext>
            </c:extLst>
          </c:dPt>
          <c:dPt>
            <c:idx val="4"/>
            <c:invertIfNegative val="0"/>
            <c:bubble3D val="0"/>
            <c:spPr>
              <a:solidFill>
                <a:schemeClr val="accent3">
                  <a:lumMod val="60000"/>
                </a:schemeClr>
              </a:solidFill>
              <a:ln>
                <a:noFill/>
              </a:ln>
              <a:effectLst/>
            </c:spPr>
            <c:extLst>
              <c:ext xmlns:c16="http://schemas.microsoft.com/office/drawing/2014/chart" uri="{C3380CC4-5D6E-409C-BE32-E72D297353CC}">
                <c16:uniqueId val="{00000009-D9E9-4DEA-9855-E20EF530A28E}"/>
              </c:ext>
            </c:extLst>
          </c:dPt>
          <c:dPt>
            <c:idx val="5"/>
            <c:invertIfNegative val="0"/>
            <c:bubble3D val="0"/>
            <c:spPr>
              <a:solidFill>
                <a:schemeClr val="accent5">
                  <a:lumMod val="60000"/>
                </a:schemeClr>
              </a:solidFill>
              <a:ln>
                <a:noFill/>
              </a:ln>
              <a:effectLst/>
            </c:spPr>
            <c:extLst>
              <c:ext xmlns:c16="http://schemas.microsoft.com/office/drawing/2014/chart" uri="{C3380CC4-5D6E-409C-BE32-E72D297353CC}">
                <c16:uniqueId val="{0000000B-D9E9-4DEA-9855-E20EF530A28E}"/>
              </c:ext>
            </c:extLst>
          </c:dPt>
          <c:dPt>
            <c:idx val="6"/>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0D-D9E9-4DEA-9855-E20EF530A28E}"/>
              </c:ext>
            </c:extLst>
          </c:dPt>
          <c:dPt>
            <c:idx val="7"/>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0F-D9E9-4DEA-9855-E20EF530A28E}"/>
              </c:ext>
            </c:extLst>
          </c:dPt>
          <c:dPt>
            <c:idx val="8"/>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11-D9E9-4DEA-9855-E20EF530A28E}"/>
              </c:ext>
            </c:extLst>
          </c:dPt>
          <c:dPt>
            <c:idx val="9"/>
            <c:invertIfNegative val="0"/>
            <c:bubble3D val="0"/>
            <c:spPr>
              <a:solidFill>
                <a:schemeClr val="accent1">
                  <a:lumMod val="80000"/>
                </a:schemeClr>
              </a:solidFill>
              <a:ln>
                <a:noFill/>
              </a:ln>
              <a:effectLst/>
            </c:spPr>
            <c:extLst>
              <c:ext xmlns:c16="http://schemas.microsoft.com/office/drawing/2014/chart" uri="{C3380CC4-5D6E-409C-BE32-E72D297353CC}">
                <c16:uniqueId val="{00000013-D9E9-4DEA-9855-E20EF530A28E}"/>
              </c:ext>
            </c:extLst>
          </c:dPt>
          <c:dPt>
            <c:idx val="10"/>
            <c:invertIfNegative val="0"/>
            <c:bubble3D val="0"/>
            <c:spPr>
              <a:solidFill>
                <a:schemeClr val="accent3">
                  <a:lumMod val="80000"/>
                </a:schemeClr>
              </a:solidFill>
              <a:ln>
                <a:noFill/>
              </a:ln>
              <a:effectLst/>
            </c:spPr>
            <c:extLst>
              <c:ext xmlns:c16="http://schemas.microsoft.com/office/drawing/2014/chart" uri="{C3380CC4-5D6E-409C-BE32-E72D297353CC}">
                <c16:uniqueId val="{00000015-D9E9-4DEA-9855-E20EF530A28E}"/>
              </c:ext>
            </c:extLst>
          </c:dPt>
          <c:dPt>
            <c:idx val="11"/>
            <c:invertIfNegative val="0"/>
            <c:bubble3D val="0"/>
            <c:spPr>
              <a:solidFill>
                <a:schemeClr val="accent5">
                  <a:lumMod val="80000"/>
                </a:schemeClr>
              </a:solidFill>
              <a:ln>
                <a:noFill/>
              </a:ln>
              <a:effectLst/>
            </c:spPr>
            <c:extLst>
              <c:ext xmlns:c16="http://schemas.microsoft.com/office/drawing/2014/chart" uri="{C3380CC4-5D6E-409C-BE32-E72D297353CC}">
                <c16:uniqueId val="{00000017-D9E9-4DEA-9855-E20EF530A28E}"/>
              </c:ext>
            </c:extLst>
          </c:dPt>
          <c:dPt>
            <c:idx val="1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9-D9E9-4DEA-9855-E20EF530A28E}"/>
              </c:ext>
            </c:extLst>
          </c:dPt>
          <c:dPt>
            <c:idx val="13"/>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1B-D9E9-4DEA-9855-E20EF530A28E}"/>
              </c:ext>
            </c:extLst>
          </c:dPt>
          <c:dPt>
            <c:idx val="1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1D-D9E9-4DEA-9855-E20EF530A28E}"/>
              </c:ext>
            </c:extLst>
          </c:dPt>
          <c:dPt>
            <c:idx val="15"/>
            <c:invertIfNegative val="0"/>
            <c:bubble3D val="0"/>
            <c:spPr>
              <a:solidFill>
                <a:schemeClr val="accent1">
                  <a:lumMod val="50000"/>
                </a:schemeClr>
              </a:solidFill>
              <a:ln>
                <a:noFill/>
              </a:ln>
              <a:effectLst/>
            </c:spPr>
            <c:extLst>
              <c:ext xmlns:c16="http://schemas.microsoft.com/office/drawing/2014/chart" uri="{C3380CC4-5D6E-409C-BE32-E72D297353CC}">
                <c16:uniqueId val="{0000001F-D9E9-4DEA-9855-E20EF530A28E}"/>
              </c:ext>
            </c:extLst>
          </c:dPt>
          <c:dPt>
            <c:idx val="16"/>
            <c:invertIfNegative val="0"/>
            <c:bubble3D val="0"/>
            <c:spPr>
              <a:solidFill>
                <a:schemeClr val="accent3">
                  <a:lumMod val="50000"/>
                </a:schemeClr>
              </a:solidFill>
              <a:ln>
                <a:noFill/>
              </a:ln>
              <a:effectLst/>
            </c:spPr>
            <c:extLst>
              <c:ext xmlns:c16="http://schemas.microsoft.com/office/drawing/2014/chart" uri="{C3380CC4-5D6E-409C-BE32-E72D297353CC}">
                <c16:uniqueId val="{00000021-D9E9-4DEA-9855-E20EF530A28E}"/>
              </c:ext>
            </c:extLst>
          </c:dPt>
          <c:dPt>
            <c:idx val="17"/>
            <c:invertIfNegative val="0"/>
            <c:bubble3D val="0"/>
            <c:spPr>
              <a:solidFill>
                <a:schemeClr val="accent5">
                  <a:lumMod val="50000"/>
                </a:schemeClr>
              </a:solidFill>
              <a:ln>
                <a:noFill/>
              </a:ln>
              <a:effectLst/>
            </c:spPr>
            <c:extLst>
              <c:ext xmlns:c16="http://schemas.microsoft.com/office/drawing/2014/chart" uri="{C3380CC4-5D6E-409C-BE32-E72D297353CC}">
                <c16:uniqueId val="{00000023-D9E9-4DEA-9855-E20EF530A28E}"/>
              </c:ext>
            </c:extLst>
          </c:dPt>
          <c:dPt>
            <c:idx val="18"/>
            <c:invertIfNegative val="0"/>
            <c:bubble3D val="0"/>
            <c:spPr>
              <a:solidFill>
                <a:schemeClr val="accent1">
                  <a:lumMod val="70000"/>
                  <a:lumOff val="30000"/>
                </a:schemeClr>
              </a:solidFill>
              <a:ln>
                <a:noFill/>
              </a:ln>
              <a:effectLst/>
            </c:spPr>
            <c:extLst>
              <c:ext xmlns:c16="http://schemas.microsoft.com/office/drawing/2014/chart" uri="{C3380CC4-5D6E-409C-BE32-E72D297353CC}">
                <c16:uniqueId val="{00000025-D9E9-4DEA-9855-E20EF530A28E}"/>
              </c:ext>
            </c:extLst>
          </c:dPt>
          <c:dPt>
            <c:idx val="19"/>
            <c:invertIfNegative val="0"/>
            <c:bubble3D val="0"/>
            <c:spPr>
              <a:solidFill>
                <a:schemeClr val="accent3">
                  <a:lumMod val="70000"/>
                  <a:lumOff val="30000"/>
                </a:schemeClr>
              </a:solidFill>
              <a:ln>
                <a:noFill/>
              </a:ln>
              <a:effectLst/>
            </c:spPr>
            <c:extLst>
              <c:ext xmlns:c16="http://schemas.microsoft.com/office/drawing/2014/chart" uri="{C3380CC4-5D6E-409C-BE32-E72D297353CC}">
                <c16:uniqueId val="{00000027-D9E9-4DEA-9855-E20EF530A28E}"/>
              </c:ext>
            </c:extLst>
          </c:dPt>
          <c:cat>
            <c:strRef>
              <c:f>pivots1!$A$42:$A$59</c:f>
              <c:strCache>
                <c:ptCount val="17"/>
                <c:pt idx="0">
                  <c:v>Jeans</c:v>
                </c:pt>
                <c:pt idx="1">
                  <c:v>Bikinis</c:v>
                </c:pt>
                <c:pt idx="2">
                  <c:v>Tank Tops</c:v>
                </c:pt>
                <c:pt idx="3">
                  <c:v>Sneakers</c:v>
                </c:pt>
                <c:pt idx="4">
                  <c:v>Sandals</c:v>
                </c:pt>
                <c:pt idx="5">
                  <c:v>T-Shirts</c:v>
                </c:pt>
                <c:pt idx="6">
                  <c:v>Sundresses</c:v>
                </c:pt>
                <c:pt idx="7">
                  <c:v>Pajama Sets</c:v>
                </c:pt>
                <c:pt idx="8">
                  <c:v>Shorts</c:v>
                </c:pt>
                <c:pt idx="9">
                  <c:v>Leggings</c:v>
                </c:pt>
                <c:pt idx="10">
                  <c:v>Workout Tops</c:v>
                </c:pt>
                <c:pt idx="11">
                  <c:v>Hoodies &amp; Sweatshirts</c:v>
                </c:pt>
                <c:pt idx="12">
                  <c:v>Graphic Tees</c:v>
                </c:pt>
                <c:pt idx="13">
                  <c:v>Jewelry</c:v>
                </c:pt>
                <c:pt idx="14">
                  <c:v>Crop Tops</c:v>
                </c:pt>
                <c:pt idx="15">
                  <c:v>Tote Bags</c:v>
                </c:pt>
                <c:pt idx="16">
                  <c:v>Casual Dresses</c:v>
                </c:pt>
              </c:strCache>
            </c:strRef>
          </c:cat>
          <c:val>
            <c:numRef>
              <c:f>pivots1!$B$42:$B$59</c:f>
              <c:numCache>
                <c:formatCode>General</c:formatCode>
                <c:ptCount val="17"/>
                <c:pt idx="0">
                  <c:v>108</c:v>
                </c:pt>
                <c:pt idx="1">
                  <c:v>61</c:v>
                </c:pt>
                <c:pt idx="2">
                  <c:v>47</c:v>
                </c:pt>
                <c:pt idx="3">
                  <c:v>39</c:v>
                </c:pt>
                <c:pt idx="4">
                  <c:v>39</c:v>
                </c:pt>
                <c:pt idx="5">
                  <c:v>34</c:v>
                </c:pt>
                <c:pt idx="6">
                  <c:v>34</c:v>
                </c:pt>
                <c:pt idx="7">
                  <c:v>29</c:v>
                </c:pt>
                <c:pt idx="8">
                  <c:v>28</c:v>
                </c:pt>
                <c:pt idx="9">
                  <c:v>26</c:v>
                </c:pt>
                <c:pt idx="10">
                  <c:v>20</c:v>
                </c:pt>
                <c:pt idx="11">
                  <c:v>13</c:v>
                </c:pt>
                <c:pt idx="12">
                  <c:v>10</c:v>
                </c:pt>
                <c:pt idx="13">
                  <c:v>8</c:v>
                </c:pt>
                <c:pt idx="14">
                  <c:v>6</c:v>
                </c:pt>
                <c:pt idx="15">
                  <c:v>6</c:v>
                </c:pt>
                <c:pt idx="16">
                  <c:v>2</c:v>
                </c:pt>
              </c:numCache>
            </c:numRef>
          </c:val>
          <c:extLst>
            <c:ext xmlns:c16="http://schemas.microsoft.com/office/drawing/2014/chart" uri="{C3380CC4-5D6E-409C-BE32-E72D297353CC}">
              <c16:uniqueId val="{00000000-DFC5-4418-A44E-0E8845891E55}"/>
            </c:ext>
          </c:extLst>
        </c:ser>
        <c:dLbls>
          <c:showLegendKey val="0"/>
          <c:showVal val="0"/>
          <c:showCatName val="0"/>
          <c:showSerName val="0"/>
          <c:showPercent val="0"/>
          <c:showBubbleSize val="0"/>
        </c:dLbls>
        <c:gapWidth val="7"/>
        <c:overlap val="100"/>
        <c:axId val="391713471"/>
        <c:axId val="242100079"/>
      </c:barChart>
      <c:catAx>
        <c:axId val="391713471"/>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100079"/>
        <c:crosses val="autoZero"/>
        <c:auto val="1"/>
        <c:lblAlgn val="ctr"/>
        <c:lblOffset val="100"/>
        <c:noMultiLvlLbl val="0"/>
      </c:catAx>
      <c:valAx>
        <c:axId val="242100079"/>
        <c:scaling>
          <c:orientation val="minMax"/>
        </c:scaling>
        <c:delete val="0"/>
        <c:axPos val="t"/>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71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prstDash val="solid"/>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[Ecommrence-Sales-Dashboard.xlsx]pivots3!pvtDuration</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Delivery</a:t>
            </a:r>
            <a:r>
              <a:rPr lang="en-US" b="1" baseline="0"/>
              <a:t> Time Analysis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solidFill>
              <a:schemeClr val="accent1">
                <a:shade val="15000"/>
              </a:schemeClr>
            </a:solidFill>
          </a:ln>
          <a:effectLst>
            <a:glow rad="127000">
              <a:schemeClr val="bg1"/>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pivots3!$B$3</c:f>
              <c:strCache>
                <c:ptCount val="1"/>
                <c:pt idx="0">
                  <c:v>Total</c:v>
                </c:pt>
              </c:strCache>
            </c:strRef>
          </c:tx>
          <c:spPr>
            <a:solidFill>
              <a:schemeClr val="accent2"/>
            </a:solidFill>
            <a:ln>
              <a:solidFill>
                <a:schemeClr val="accent1">
                  <a:shade val="15000"/>
                </a:schemeClr>
              </a:solidFill>
            </a:ln>
            <a:effectLst>
              <a:glow rad="127000">
                <a:schemeClr val="bg1"/>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pivots3!$A$4:$A$14</c:f>
              <c:strCache>
                <c:ptCount val="10"/>
                <c:pt idx="0">
                  <c:v>0</c:v>
                </c:pt>
                <c:pt idx="1">
                  <c:v>1</c:v>
                </c:pt>
                <c:pt idx="2">
                  <c:v>2</c:v>
                </c:pt>
                <c:pt idx="3">
                  <c:v>3</c:v>
                </c:pt>
                <c:pt idx="4">
                  <c:v>4</c:v>
                </c:pt>
                <c:pt idx="5">
                  <c:v>5</c:v>
                </c:pt>
                <c:pt idx="6">
                  <c:v>6</c:v>
                </c:pt>
                <c:pt idx="7">
                  <c:v>8</c:v>
                </c:pt>
                <c:pt idx="8">
                  <c:v>9</c:v>
                </c:pt>
                <c:pt idx="9">
                  <c:v>11</c:v>
                </c:pt>
              </c:strCache>
            </c:strRef>
          </c:cat>
          <c:val>
            <c:numRef>
              <c:f>pivots3!$B$4:$B$14</c:f>
              <c:numCache>
                <c:formatCode>General</c:formatCode>
                <c:ptCount val="10"/>
                <c:pt idx="0">
                  <c:v>8</c:v>
                </c:pt>
                <c:pt idx="1">
                  <c:v>46</c:v>
                </c:pt>
                <c:pt idx="2">
                  <c:v>33</c:v>
                </c:pt>
                <c:pt idx="3">
                  <c:v>28</c:v>
                </c:pt>
                <c:pt idx="4">
                  <c:v>13</c:v>
                </c:pt>
                <c:pt idx="5">
                  <c:v>6</c:v>
                </c:pt>
                <c:pt idx="6">
                  <c:v>2</c:v>
                </c:pt>
                <c:pt idx="7">
                  <c:v>1</c:v>
                </c:pt>
                <c:pt idx="8">
                  <c:v>1</c:v>
                </c:pt>
                <c:pt idx="9">
                  <c:v>1</c:v>
                </c:pt>
              </c:numCache>
            </c:numRef>
          </c:val>
          <c:extLst>
            <c:ext xmlns:c16="http://schemas.microsoft.com/office/drawing/2014/chart" uri="{C3380CC4-5D6E-409C-BE32-E72D297353CC}">
              <c16:uniqueId val="{00000000-6936-4CF7-A9B0-A06DD2AF7E3D}"/>
            </c:ext>
          </c:extLst>
        </c:ser>
        <c:dLbls>
          <c:dLblPos val="outEnd"/>
          <c:showLegendKey val="0"/>
          <c:showVal val="1"/>
          <c:showCatName val="0"/>
          <c:showSerName val="0"/>
          <c:showPercent val="0"/>
          <c:showBubbleSize val="0"/>
        </c:dLbls>
        <c:gapWidth val="0"/>
        <c:overlap val="-100"/>
        <c:axId val="14474495"/>
        <c:axId val="242077999"/>
      </c:barChart>
      <c:catAx>
        <c:axId val="1447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077999"/>
        <c:crosses val="autoZero"/>
        <c:auto val="1"/>
        <c:lblAlgn val="ctr"/>
        <c:lblOffset val="100"/>
        <c:noMultiLvlLbl val="0"/>
      </c:catAx>
      <c:valAx>
        <c:axId val="242077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4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[Ecommrence-Sales-Dashboard.xlsx]pivots3!pvtRating</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Customer</a:t>
            </a:r>
            <a:r>
              <a:rPr lang="en-IN" b="1" baseline="0"/>
              <a:t> Satisfaction Ratings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pivots3!$E$3:$E$4</c:f>
              <c:strCache>
                <c:ptCount val="1"/>
                <c:pt idx="0">
                  <c:v>2</c:v>
                </c:pt>
              </c:strCache>
            </c:strRef>
          </c:tx>
          <c:spPr>
            <a:solidFill>
              <a:schemeClr val="accent6"/>
            </a:solidFill>
            <a:ln>
              <a:noFill/>
            </a:ln>
            <a:effectLst/>
          </c:spPr>
          <c:invertIfNegative val="0"/>
          <c:cat>
            <c:strRef>
              <c:f>pivots3!$D$5:$D$8</c:f>
              <c:strCache>
                <c:ptCount val="3"/>
                <c:pt idx="0">
                  <c:v>Jan</c:v>
                </c:pt>
                <c:pt idx="1">
                  <c:v>Feb</c:v>
                </c:pt>
                <c:pt idx="2">
                  <c:v>Mar</c:v>
                </c:pt>
              </c:strCache>
            </c:strRef>
          </c:cat>
          <c:val>
            <c:numRef>
              <c:f>pivots3!$E$5:$E$8</c:f>
              <c:numCache>
                <c:formatCode>General</c:formatCode>
                <c:ptCount val="3"/>
                <c:pt idx="0">
                  <c:v>3</c:v>
                </c:pt>
                <c:pt idx="1">
                  <c:v>3</c:v>
                </c:pt>
                <c:pt idx="2">
                  <c:v>2</c:v>
                </c:pt>
              </c:numCache>
            </c:numRef>
          </c:val>
          <c:extLst>
            <c:ext xmlns:c16="http://schemas.microsoft.com/office/drawing/2014/chart" uri="{C3380CC4-5D6E-409C-BE32-E72D297353CC}">
              <c16:uniqueId val="{00000000-402B-4421-899A-643F052C43A9}"/>
            </c:ext>
          </c:extLst>
        </c:ser>
        <c:ser>
          <c:idx val="1"/>
          <c:order val="1"/>
          <c:tx>
            <c:strRef>
              <c:f>pivots3!$F$3:$F$4</c:f>
              <c:strCache>
                <c:ptCount val="1"/>
                <c:pt idx="0">
                  <c:v>3</c:v>
                </c:pt>
              </c:strCache>
            </c:strRef>
          </c:tx>
          <c:spPr>
            <a:solidFill>
              <a:schemeClr val="accent5"/>
            </a:solidFill>
            <a:ln>
              <a:noFill/>
            </a:ln>
            <a:effectLst/>
          </c:spPr>
          <c:invertIfNegative val="0"/>
          <c:cat>
            <c:strRef>
              <c:f>pivots3!$D$5:$D$8</c:f>
              <c:strCache>
                <c:ptCount val="3"/>
                <c:pt idx="0">
                  <c:v>Jan</c:v>
                </c:pt>
                <c:pt idx="1">
                  <c:v>Feb</c:v>
                </c:pt>
                <c:pt idx="2">
                  <c:v>Mar</c:v>
                </c:pt>
              </c:strCache>
            </c:strRef>
          </c:cat>
          <c:val>
            <c:numRef>
              <c:f>pivots3!$F$5:$F$8</c:f>
              <c:numCache>
                <c:formatCode>General</c:formatCode>
                <c:ptCount val="3"/>
                <c:pt idx="0">
                  <c:v>16</c:v>
                </c:pt>
                <c:pt idx="1">
                  <c:v>9</c:v>
                </c:pt>
                <c:pt idx="2">
                  <c:v>7</c:v>
                </c:pt>
              </c:numCache>
            </c:numRef>
          </c:val>
          <c:extLst>
            <c:ext xmlns:c16="http://schemas.microsoft.com/office/drawing/2014/chart" uri="{C3380CC4-5D6E-409C-BE32-E72D297353CC}">
              <c16:uniqueId val="{00000001-402B-4421-899A-643F052C43A9}"/>
            </c:ext>
          </c:extLst>
        </c:ser>
        <c:ser>
          <c:idx val="2"/>
          <c:order val="2"/>
          <c:tx>
            <c:strRef>
              <c:f>pivots3!$G$3:$G$4</c:f>
              <c:strCache>
                <c:ptCount val="1"/>
                <c:pt idx="0">
                  <c:v>4</c:v>
                </c:pt>
              </c:strCache>
            </c:strRef>
          </c:tx>
          <c:spPr>
            <a:solidFill>
              <a:schemeClr val="accent4"/>
            </a:solidFill>
            <a:ln>
              <a:noFill/>
            </a:ln>
            <a:effectLst/>
          </c:spPr>
          <c:invertIfNegative val="0"/>
          <c:cat>
            <c:strRef>
              <c:f>pivots3!$D$5:$D$8</c:f>
              <c:strCache>
                <c:ptCount val="3"/>
                <c:pt idx="0">
                  <c:v>Jan</c:v>
                </c:pt>
                <c:pt idx="1">
                  <c:v>Feb</c:v>
                </c:pt>
                <c:pt idx="2">
                  <c:v>Mar</c:v>
                </c:pt>
              </c:strCache>
            </c:strRef>
          </c:cat>
          <c:val>
            <c:numRef>
              <c:f>pivots3!$G$5:$G$8</c:f>
              <c:numCache>
                <c:formatCode>General</c:formatCode>
                <c:ptCount val="3"/>
                <c:pt idx="0">
                  <c:v>19</c:v>
                </c:pt>
                <c:pt idx="1">
                  <c:v>18</c:v>
                </c:pt>
                <c:pt idx="2">
                  <c:v>28</c:v>
                </c:pt>
              </c:numCache>
            </c:numRef>
          </c:val>
          <c:extLst>
            <c:ext xmlns:c16="http://schemas.microsoft.com/office/drawing/2014/chart" uri="{C3380CC4-5D6E-409C-BE32-E72D297353CC}">
              <c16:uniqueId val="{00000002-402B-4421-899A-643F052C43A9}"/>
            </c:ext>
          </c:extLst>
        </c:ser>
        <c:ser>
          <c:idx val="3"/>
          <c:order val="3"/>
          <c:tx>
            <c:strRef>
              <c:f>pivots3!$H$3:$H$4</c:f>
              <c:strCache>
                <c:ptCount val="1"/>
                <c:pt idx="0">
                  <c:v>5</c:v>
                </c:pt>
              </c:strCache>
            </c:strRef>
          </c:tx>
          <c:spPr>
            <a:solidFill>
              <a:schemeClr val="accent6">
                <a:lumMod val="60000"/>
              </a:schemeClr>
            </a:solidFill>
            <a:ln>
              <a:noFill/>
            </a:ln>
            <a:effectLst/>
          </c:spPr>
          <c:invertIfNegative val="0"/>
          <c:cat>
            <c:strRef>
              <c:f>pivots3!$D$5:$D$8</c:f>
              <c:strCache>
                <c:ptCount val="3"/>
                <c:pt idx="0">
                  <c:v>Jan</c:v>
                </c:pt>
                <c:pt idx="1">
                  <c:v>Feb</c:v>
                </c:pt>
                <c:pt idx="2">
                  <c:v>Mar</c:v>
                </c:pt>
              </c:strCache>
            </c:strRef>
          </c:cat>
          <c:val>
            <c:numRef>
              <c:f>pivots3!$H$5:$H$8</c:f>
              <c:numCache>
                <c:formatCode>General</c:formatCode>
                <c:ptCount val="3"/>
                <c:pt idx="0">
                  <c:v>7</c:v>
                </c:pt>
                <c:pt idx="1">
                  <c:v>12</c:v>
                </c:pt>
                <c:pt idx="2">
                  <c:v>15</c:v>
                </c:pt>
              </c:numCache>
            </c:numRef>
          </c:val>
          <c:extLst>
            <c:ext xmlns:c16="http://schemas.microsoft.com/office/drawing/2014/chart" uri="{C3380CC4-5D6E-409C-BE32-E72D297353CC}">
              <c16:uniqueId val="{00000008-016E-4C92-AE23-5715E67E37ED}"/>
            </c:ext>
          </c:extLst>
        </c:ser>
        <c:dLbls>
          <c:showLegendKey val="0"/>
          <c:showVal val="0"/>
          <c:showCatName val="0"/>
          <c:showSerName val="0"/>
          <c:showPercent val="0"/>
          <c:showBubbleSize val="0"/>
        </c:dLbls>
        <c:gapWidth val="219"/>
        <c:overlap val="-27"/>
        <c:axId val="417949583"/>
        <c:axId val="242047279"/>
      </c:barChart>
      <c:catAx>
        <c:axId val="41794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047279"/>
        <c:crosses val="autoZero"/>
        <c:auto val="1"/>
        <c:lblAlgn val="ctr"/>
        <c:lblOffset val="100"/>
        <c:noMultiLvlLbl val="0"/>
      </c:catAx>
      <c:valAx>
        <c:axId val="242047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949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Sales by State</a:t>
          </a:r>
        </a:p>
      </cx:txPr>
    </cx:title>
    <cx:plotArea>
      <cx:plotAreaRegion>
        <cx:plotSurface>
          <cx:spPr>
            <a:ln>
              <a:solidFill>
                <a:schemeClr val="bg1"/>
              </a:solidFill>
            </a:ln>
          </cx:spPr>
        </cx:plotSurface>
        <cx:series layoutId="regionMap" uniqueId="{00000000-AC9B-4649-A2E1-259BCF09618E}">
          <cx:tx>
            <cx:txData>
              <cx:f>_xlchart.v5.2</cx:f>
              <cx:v>Qty</cx:v>
            </cx:txData>
          </cx:tx>
          <cx:spPr>
            <a:ln>
              <a:solidFill>
                <a:schemeClr val="tx1">
                  <a:lumMod val="50000"/>
                  <a:lumOff val="50000"/>
                </a:schemeClr>
              </a:solidFill>
            </a:ln>
          </cx:spPr>
          <cx:dataId val="0"/>
          <cx:layoutPr>
            <cx:geography cultureLanguage="en-US" cultureRegion="IN" attribution="Powered by Bing">
              <cx:geoCache provider="{E9337A44-BEBE-4D9F-B70C-5C5E7DAFC167}">
                <cx:binary>7HxZb9w6tvVfCfL8yUckJVJs3HOBpqQabFd5yJwXwbEdkZSoidT46+8uZ+h4SF8HuHn4gi4HCMoq
qigtce+119r0f11P/7gub6+6F5MpK/uP6+nvl9K55h9//WWv5a25skdGXXe1rT+7o+va/FV//qyu
b/+66a5GVeV/YR8Ff13Lq87dTi//+7/gbPltfVpfXzlVVxf9bTdf3tq+dPbfHHvy0IurG6OqRFnX
qWuH/n4ZX5Xqc91V6url/WP475f/LK/M7c3Vi7juKze/fHFbOeXm13Nz+/fLe+fBL1/89fDrHk3t
RQmzd/0NDCbsKPKDCEeU8LsXe/mirKv862EPYXyEGQ4YhTN/+dY9TOWXZnQ3n6ubm+7WWriyu/8f
n+DeZcDd+Of/fheuD3fjAEAOWPz98k2l3O3Ni1fuyt3aly+Ure9uVzfH9eFS37y6uzd/3Yfwv//r
wS/gbj34zQ8oP7y1/9uh+0D+LyDvrjpV/RaIOQtCFvpfIY4eQxwSFFHG4ciPGD97Qk8jfH/4M/C9
P+APQ1f0zt3+BnT5UYgwCfww+LKAH6GLjsIwoAhhdB/dZ0/oaXTvD38GuvcH/GHontb2xT+r/La8
tb8B4+DIDzEmURA+jTGKjnBASMAQ8w+vB0j/4uSexvupkzwD9aeG/WHYxzVkoUNutu53ZOjoyEcR
54Swp8GHDI1IEIUMPQjfvzqvp3F/8izPAP7JcX8Y8ifAEH/HeqdHBDNgXd/WO3+QsRE/onAMQjrQ
tR8z9rMn9DTW94c/A+T7A/4wdFdAWKv6N4RzesQIomGI0JcV/QS8LArhB4X34X3+jJ7G98H4ZwD8
YMQfhvCmN5/q8sb932Mc+EcsoigIMH2wdnFwhCgiPtRcX9C/D/GvTOlpkB+d4RkwPxrzhwF9ctv9
jsoqPCLsjnrTO9p14F33imeI04fcjSCa30f5ufN5GuF7o5+B7r3P/2HI7q5ubu/IF0gB/6fCCD3i
FJMQQ91893qILfaPfAq8K0AQvn/Mwc+f0dPoPhj/DHwfjPjDEN5fNb+HVmMOFAs41Bd8yYO1exC+
Ig51dfRA+XrufJ5G997oZ2B77/N/GLKv6qo2vwfbgHAK8H4ph/0nsGUopAGs3vtr9/kzehrdB+Of
ge+DEX8YwpdquO2suvkdwhc54pEfEvI19z5OvgyyM/OhRnoQoH9pUk/j/PgUz4D68aA/DO1XV9cd
mAOV+x1FU3QUMsoh4fpfaPMjowIdBfzwA4Ts8Hqggf3a3J5G/YlzPAP2J0b9cbhXLwQw7KvuRv2W
ghlKJj8Ci4KQp3M1YkcYUjV/uNJfXf3qxH4G/JPneRb4T478Ax+ARN3mv2Pd4yNI1Szk+KGxAaAj
SiJ4Kr6q4g9SOWD/7Dn9HPb7p3gm4vcH/YFgr7qr6lrZ6/rbPf+/saJZ5Pssir4KIw9lMWDkAdjx
YUQeJPTDMv8+o+doOT+H+/Fpngn544F/IOzH9VXb/y6PGhZ5gAHgu9cjxo4gwoMgzvmXcvxRdq9e
/MLkfo7/w5M8E/2Hw/5A7HfQVfE74js7giqMMf4tij/idVCH4wgBs3sC82dP6ueI3z/FM/G+P+jP
Q/tgZJZXv0VXg6oMjGoOAvhP7Ex0BBkABWHwwPyAKP8r0/op4o9O8jzMHw3701BXtlBz3T8nf/5a
j1mADn4X6GjfesyeSOyUhDQEPfUbn/jSZPbqF+b0E7wfnuE5YD8c86ch7a4qZcur/ndY1wycaZ8B
ml9LNRBP71kiGB35/qFZhT3oVoC2vV+Y1U/QfnyO5+D9eNQfhvhb0GT63xLNAxDJoTT3f9acAg4Y
5gT51H8A9y9M6WmsH57gGUA/HPL/Acr/for3rvnQXfrPb/HziXrs1zuDMfQNUo74F0oO9OveSj40
oSCQ2BE4YHevb9/9JXb/2M78xR57ak5PY/vj2HvX+OUS//1N+T19vz/vCf7eXp1cuav0rjH7h7bg
f3/07vKhofzB0K9+4hM37LsXtb35+yU4VyT0A2DM33u+Dye650Z+8Re+QXN/1O2VdX+/vOvxBkoG
LcIRdJEF+GBojrdfD5EjkNhJBFaoH9CIASer6s5J6ByPjqIQB2CRwRNAoMUUpmHr/ushSAEYzhVQ
8NB86B3/dqHndTnndfX9rnx9/6LqzXmtKmf/fhlE8KQ1Xz53mG8EFV8A0l4AkYZFJGIYWEJzfXV5
aL6Cm/D/iqopm8LX/hn4tZ1chdHSxeAL9Ned7tMhKCbhm6zYeJmrYo3428wNUmSdbJMwZJ+cKV8x
M3KBfZxAk64vskZ96j1/a4f2tPB0Hndhp4VqhySjg1sVBH0c2ZSvLR7tiWnbbTvkMVnUGXHe1ki+
s8UsUGd53Ge6jYd5qQWz0aZSOl1GL2HEJW6k0J7uLecF7bO4VOMlJu4DV8yLw6K6mAsPibrxXntS
dXE2aCtapVZ5Rk9K/b5U88cx93uhQ31pO+2LrrUxMuGJ8dsy1Uu1nusa7/wmOJNqCQRsYjhZwmY/
VP1JZLObho8nCtOPeKbFRTC1Q5xX2W4MnBQ59j6MXZjaCKOrbq5nMRZRstjurcL+Tc60FGND2piW
5ZuJeTd9OMCFlHxTFNFuLnOZIriGzC92ammurK7tasgKlY6zM7HEbbiuwmybTbIVXWTezE12Zvvx
o6GuFgXDp1PUrl1Q1IIbU4khQqvI5us2C88K3BARjsumH5Efzwt/qylf9WO4Gwe59l00xDbSF5Xx
g3ioptPILqejjfx0zJr3SoYkHnCrRcuLt62dmSgK9z5cxpORtp1w1nyuo26HEclPZZHvuQxkUjma
jrZ3MXJ4YzPeCdvmr3HZbf1Gqjhijh+PtG9STOVNlbNXeTav+2KcUlOb47nGSPTEu52C5mSh1Ypq
9w5+t6nqsBPBEEVpjZUVUrvzyurylE/mNT2tUVEKzkxCYT0lkmQyYb39bFC70axb06GVMaTzfAUf
3KG+TZu6N8IvhkEMnn2Fhm6tw+JDMKM1z/tcNFF4YjXjsavrIKkqc9FrOa9aW6wCt5Txkg3pLFkj
wDSN4mLpdg0vrdAmcymeyRrn9UkRBquS94soeHcRFOOxlk7Hspv3HYd7H2Qnbgmd8CLF5us+r7t3
snIkkTk3kaB1xS5xAzwhF1FnvAu/4e2lnXNTrtGkVo74q8KTVPQ4+1zk020Wcj+WdRlXfsuOWTW9
tbT75Iq+FU1dX7Ccrz1ZXKCm3EaRCWNCedJMLNaEDYkq/W4VhW6PSBnAxTVpy5gnyKQ3tZuCVGbB
KHjJllgP1sSNMomrpxWh89VEcdJO08coi1Kfz28AaCki7W1n5Z1WrVzLwttWvBa0QHGuy4R72Uab
eVVEVS6mqBFzsByTxr1DbZfIcM4TbKbVYKJcEKVPmWqL2BVY8ImtR06FaQwA8tZ1ej1P/aqPxngw
/VZ5WS6KiiWzsYlU/L3RuhC2k6dDw1GytIqvJkN7sRTVhrf+njh+bccAFsEczxNr0iLgCWnmXdDr
7diRRhjsdyd4HAHbUGRev+ltd913w5meosTq4LWvciP43J0uBaMiCKs0KGAV+pEU7YT4ChX+q7DP
bltq4ekczNbxPIotGzYoZ1PsteEmIOY885fhRDZKaBVGIlJDLIN+N7LqZPKqSpiijIM8+lCSXjga
bfoqEN3srznrzxUd3vm42WbBtKKDz9JClxD/psoTDa0vSc9drJbuLPBzMed6U0IAbNSwz+jyuq1r
0WJ3keH+uGsHQdtwEBOfk2XBK0q7lHhoW9d2SGxdLRCFyYqH7sSvllVUBUPMZ0+0jf+pzCwWDvcf
iYrKeMQh2SKWn6NqFk2eX6AlOuXRPMTL4qkVXcZjnxYxq0cZF02uU+MpviV52K+5nM5J6a2Kcj7H
PPpM8LKqTJNY6lLbRd5KqbaKR8+dza45dyx6M6lexiYM+3gyIU8njcv3BcnmJG+Gz9r2J3Ly35Z9
tdWuPpXcDqLv1GW/4ASr7nOYz2nfo2Yvp2nV6uVNgfAiwqF4CxE4tVV40XlZLXKff/Bo925qp5PR
yEbY3rCYNFHskDzBRR7LKTzLx/wkcA7CeDBvs5brSqCsnYMNtbZ4O5TeWCTIq9DKW9wYR1OUlr7a
4rDQohnNkky1vAkG0ifzUE+J7dAVX5Yz1BmSAl3Ikxyj1dQtWmSk/czcUMTcFTunGITLeaoSWat3
tcbntcGXQVGNYqgDMUl7DSJC4nx+zLz5zNJpu2CIXx1DvajC6s00e2+bqX5dKlyIsSJJUyokonk8
Gwq6xMESvVqqhiRlr/uLzmmVhiXTm6DyM0GzwUyxQWSQJz/wqSf4yaGj8wd6EvrgS4ND5WMaghfl
Q8PYfXpiW1CzZk74GXplxPtwNZy38SJMzK9eX9pdfazSOnYbdRqux0Ru6pU8DvON3sn13Ty+Es+v
E/lCnK7rZu5ULr/uOvz+9r9f1wb+3W1g+9cvD5sW//VufVsfCLp9+KHD93z/FHzN1+89EMp7bx4x
3G/U7gGH/bIt8icHf4ngIuB7Pye4h+bGx/T2MOYbvQWjkELLLQ8pixjyOfT8fKe3/hECYTkIgftR
QhnQ62/0NjyC/XAgO4PzHMHeuAMp/kZvA+jt5QjYaBgC8rD56lfoLTuw13+xW3h8OAWqxTnoY/7B
6vTvPz4MNbmP5OL2zDIrikF1kEUlLhPWBnzNhujKZvm4apsQqNe86MA7NjbqZ54whfUHhVGfncms
7tttoGxjYt3r0U8bL+zZeRN03Xhejc2+IYV67XUj5kKSha20XexFVEr9kZThcjFXc75u/AyjNOdj
nc2iqkuV4GCRK9damydtOHX9Nsg8o0mKHCvtByOpnhoxlQueloT01Cq7wtWk0LEx41K/yhcgumvV
Zhqnrs67NSe5nyhW5etpcDTp6lGvvWJu07HN0BqWMUrHqV3WfkG7t8sge7Qp+EyXlNgesu2M+TKl
ZU9ou2tY5i1pFTSeBba20F0/W1knDa7pKwUpQYuKNTql1WzXqJGFe1WQsuMpDZrybAJCh9ctg/dz
buv3yxhwCG5tXugOIlHNtm0JTdzpf5boXQ2KYeH8fInubrvr25vHi/Qw6tsiPbTTwioMQxLerTc4
9H2RgvcXRDTgIWcIdqlCofltkcLKJgjDauSIcn5XuX5bpLDJIjjIUlC9BpweVv23WHQvlELx/fX9
jzUofhzkwaSi0C4aQVTAsPnmwSolHh6Ra4viDPmB6465U40fq8EE3ruoLtiYGtqZOe5b3V4gViQ9
NtulM5tpu/Uzva6qWsgRC+2it3KGNQPE5jVs6+pO/Kms5fss15OgrirEDC5pbGx2NheFTkJt3KbB
YRmr0VzWxXw2eeUA1QO+yhgO47ArThp/Oa/oJAXLurfAwtZNWC/ANae3iz/e0IZdNgS4tiJLs8kn
yE99VG8Cyy9crj8PdYdTow0VDlS8tBld8SbLzbkXkCV2/uziYkJnUZ1djAZoAp1bf5PTJRNTF20G
2mCgfOMmo/hD0EyTGOsZSnINWbuu2yHlYaA3DTFlyjsWxWGd0dS08n1ftC6pwqZY50VWiKXx0YrI
qhS9RzwtRurkRkLY84G0IUYEBkIAYcYrN1L6B/arw7VFqDzx2yq/ZI5N7+gAcbNmZhF2UuGZijCO
c6TQfp6D43YK8Lms6jqp7NwCe2Ru3SltV7I2SIrBwFdjHb3LeOs2FSZLMstuEPOAJuGmIrPHGnXV
RdY7chI1XQDpnc9QtlpUteo4YB5FW15Yr1jhsRDDzAr0CbUkSPreE6zVkO2HXvRZpBNXGCErpEWQ
Lys/NBeB5t0YT3M9CdIVt2Xdv4PS7bT2/TwxbFyXrgAKGoa7jns762F4kIxKwqa8nGR13ODuA/aK
Uz2qA0M2r0kux9TJ6Dpo2nOcs31lJihwpWPFeahnhVNCBqL3JpR62aHQr6C0HNOi0TQmwZBti1lu
e5NpMWV1JaBkilKz5NfLNCqR+cDDG56ZVW26RoS8knHQhdehrzoRBn4RT9jZhMgp7ZFLmJnf5JOb
ktlVYaKGQcfzDEV+lgV7R0eTQINnvfFyo6AOydNJwSc1nFcinrK5AdLth5UoQ17E0RIM61mqIfEn
f89CyHBFFyoxN4U99n13QtU0xC4scapK64EihD/SCRUim+tXoOYoqH1GHmeVZaItpOAqCgUH4UlY
xm5Nlt+UNVQEsLpip2cntKfP+xCo6TzgFPk9i3s7m7RGh7xSj3wVwaMPskueVH7n8iQLXa6El9fL
KJRmdXFcWVe//k/+uMsf/r/NH3c7xx+nj8Og7+kDbCUGYvXBisAQvYGjf08fGA4hsJzhh1By6CP7
mj5gkxYKETSKc59TSCz0B4538C1C2HGLISN9IY2/kD4Ivy9hHmoE2J4L/BNmB6ooyOr3Sd7QTDas
cknO7BT48TIN23EO2gRpQkRH21VNcC86N79jeCGJzYPrjkSnjs9FEvqw3PSUBWvXyRM31r6o/Grn
ab8T0dL0yWSH/dRRmwS8A6mu7j/NvPogVZ7OpryEWLmuZneMCb5sm0YL3c694A22okP4tDJFKHKP
vbEFr+OSQ7pZxuzNUut3YS6ZqOtliulkzsKcnKGRprytj1nZbotwIdtlyLq4L3AUD3KCWL6kOGo+
B4287Mc8PK7ybA2VzKdIzYLb5e1kDYiA2GBBcFEIGpgKVIws9qe6j1kj346o/1hMQxDLQm5wD/Gn
sawTRhJQ8AaQd1VD9oVpj8siIGLsus/tIJGYvNrFSxmdKYhK8Zi3ZzocmuPJuGLVqyyHQFQXopBd
HnM/z/aW1n4iQe6iog2WzxEeiv0QsOtFwc1tMiMvcDb7QtruVkI5utN1uQ25h0WGm3ktKxudWTWZ
lLERUOslaBy5y+PCTKPQeQUJRSO6VsOUC9oNIJxMLL/wc4LWS6Nz0eaqFKYCtYyMYy2UIXnqz6Xe
EDKVqacUXmtZLiA5B4LQKYRHoK43JstQgiYQU8rAqlXgN9kqGEmZdsbhtauJSSuiTyEjnSxOnxUV
2ro5XxJlos/ZoqnQzASpZxVJ5n7WKcrYvC76vEx9LSO4EWhOWdfytdM0FxrI/ppjUCFM3jWJr5C6
rEYWrftDHQKOn974fpYlw1ASYQnxLkqotIRZ4ErbiVKhqE9XUe65WM9jJOY6b1LP9Ahk2UIdh9aO
6xzL1zO2533vV6n0olnUroENm9YKJWko5pYHxw23RORohlC/HG6RwtXH0Yb6TSWh+LeSV5u5rzKB
p7wWZVahszCSuZANcBQF9x2SKqhh0cgUELBg7EFrVTeFUUz4mmXpkBtv4zu96sMyzbKKi9FQkNN4
1QkCgpeIAt0LT49R0jWmjOmg6cWCpgs99ZeQworUYo1UXOJyX8AfCtiERfvZVcsnhwaonBqQLkpe
djuFJhKTiSZl19ItncfslHpsWEdZFVxir3+reO28xHf9lK0lnhASqm+uR5gVWzxIY1KXwkayXXtq
fo28ERQWmdPYH/hxZTDI2OOMQLfrtyUkKtGwBehbmaeqqrxjL/A3ipA3g9Uutrl8bVp9zHR1PjIb
ex7b2fAj0MmTvqbD+7kob4GAnU6B54mqQzqJxn487S0DLZI7MEo6VYi88E8xfJts5MkwBJ/bIsIx
WsqdP/pIDJy9XUB4g1S4RAft/QZq21xkxmxrPV9AQ+9pHyoT13IgSWWiel0oBILeIMPkjgkNijHR
wccri5uYWRKu5hkgRK056738VTllH/26/9AEEB4ivxkSVnQnakRXU0FpaguSx4Ot8xXq0RopAjk/
6ICYgvrHFmREaYedjcZ3PXSlJMwLzkGxjURtWLWNwhA+6Xwt+qIc4sbVJ732N2U0VPEQZCvt1+2Z
4m4WutS+8CaeuAm2kme0AD1OJZnE9EOR9SZM62raVdhd1wHbVn34vsxMuFUGCd0tnyYQ8kVfTxu4
6HIlMaidBi1JSdleaogyvPYEBmZYcK8GgQxtvJZu5rFNNFZaeGq8AFPttMSWxJkqP7mIb1hF9ihv
1l7QrvNRJoBpPJUI3odXMlIqtqr/bBU7L9vRpUM9b50JZNqzMvaC4iIzmQe5oI9LMp9IV14Y7iVI
yddlkaeSVhvWl1XSGwUKnIt7TDtRZcCnzLxssgidqjKOfDsJy3FMsH+b9SCrQh7z5jW4TTY6Vwd5
OKfVJdDF7j+19Vd/FwjLz2vrf7XNPCZIwaHn4pvH6x+Bi8ugcr0Tuu55vLBzBg5BjQ3FN2yLA1r1
rb6Gvz3CWIiBIDEgVXeHvtXX0H0PpjHlX3faAaP5FYJ0aOG+r4JBGwn0Bd21/sFfJDu0i/zo8XqR
R4oOSuGzHizLZadxE+o9CvyDcAQO7jlYK4OLTRnuQ6hr+kN9cyh0Oqh4BlTWsHTMaQu1UDnXx6Wt
LhXUSO5QLBGd7WBJ70A4LuIK6qmcDHnSQYUl/fHdoqtbruCZrQdsYa3R+iKEugyZQAu5QD2ayQJE
sF6Q0umdg2puolGQdGSo0CcMpeo0jHm5GnMwMrdginfqGBfU5esCeVAlQnSmClwgAuk383zwaejQ
bJliBrQnfkxLKGtek8xBZMvMqPuE81wGp51W9oMeM1hsAzEYKnYoqcET1CfMVlQDTQvtCMk69BJu
o05vwEsalrTtcr9NTUh5Lspx+tRTA2ZuWb1jDbgOTo7raODdulH0qsnqLGFjC3ksKscV6eudyvw2
xtYFAqzPtF0yIECcpHU2vMF+9tbrlq1j3uXATFwN4zaYq2TwIE2M4Rkf6CyihsZdiS9nq64arz4p
e3DlatfvegbGEPOaTXQwITuOLofe21KE0ypr91HefMZA74w3bpByYLeaTZ61pzmv9gZP+77uPvmz
veSy3GBN3xR8AOeNbTKUn1E5gG9eNq/KZhGsUknZ+OsxtJedixIyjVtNg3cG7C6fR1c8sselHvs4
MgSnmn+uUJ0GJd2TsU/HOloHzRKj2u4yZc954T50dgGyECWNh9KKyf1Sm7NoBiYbLvvKBhs74XfL
WO8GDMW8qfaAZdzoccWl3Ous3lvCTxZIXNBzcAxG/rqh/kcc6lWk3K4h7lNeRzo9QJ8z/jroUAyZ
YR3R6RQN1ome+/sey2Ru9b6j+KKdx9gt3ptQkm2pDwj3IHYWZmvRwYeLBM/aWx5YsMbLd+Div6l9
eemkt8qa8BS21a1wb/a+HkrQcNDpGEyfBphEzCuUAFU8zYblGNTzuJPuNGfg/CgwkCa5ra1pwWLp
bjuGLwc+XXZzwUWWD+EFC7u1oqPc0yzYzSE2Z13p6y3E+FYKhWuCGpBCZhFO7ZlPw9MRwSPV82Bb
DtaLWzo2SWP5zZxPe38ySWAIGKj5xdSCMDw1KhnKkiWkbT9CQQ6PH6FJ02RraGaYVx7JPi5duRv5
JFeR6V8XYwYWIAHTP3A2xfUCVAH6RgQxAYs92U1xM3hViiXaZUFwGXTQdeEFBur8CRAfND/Xjbe2
gUmaQdcbkIu92LNMr8Ab3Tndr4ssj0Nwhn1oF0jh6QC0MHaC9/a8zeQcV4E9Ad2oi+VsT0qjzoKs
OCWtt0bkoA22+wZjJcbWXDeBATAWL4HukjHR2Qw3y9GLsIy2tdMENHFNRHWQxbJlcrGn+7j2MY+x
DKF4U82pUWUvCnDvDK7fOwaF0IzNEHtm2feI7KZC3VACjRBehDdZU4ViUhJECz1c0gq/dZwee2BA
RV5frsq5amJfjTv4Y0OzGAKIAMYrm5g3VZ/gNuvFqJp2pfv5tG7RKChRZ0XRvhloT2Mpp9c5DeF5
R0pUQPSHqDjLSrg1sjUF8G79BnzkKuZKcjCcvfF0qUl5IkOwVP+ji9zpIoce+H+T+782Kj+R+WHc
98wP6f3w9/9AWKcBNGVBZv0ujRDYXMf9CDICgf0XBA59k0ZANPFB/PAppGLoATxsvvia+UE1uZPa
ofMLtlzC7mr2K5kf1NqHmR8auzg0dvlgpFGYCtCPHzM/ynrbFx2tz6fOZ6tqgO6NoAkGsQTjRrKu
P8SQSfRQV5zBRfgnfmkQCNGKFdsy8uv3ymR2RyMfeCch7Svd02ATTr3dj0XW3DQuM2tWDupUlgya
gg6VZNxwbyRAGbzp3EL1fAYCbfDB86lboQyHUQyVdpksVVbti7zhN5EnL+epBN8cIe8YA+9YLxE1
b1w0hx/KgXWvoJGg3zkr2bboq7oVrAcpGIVz/Zb0vgPDzeLbOuzL96FfVps8tDypmsxeDYT7qfQj
Bcmcj2umx+6kl0NzMeoKbC7lVrnKm2QYUTCcSQ86Ga5rqN+CE1RlyzytXF30a7QAL7kNcq7lXgYl
NNG0ma26MyYbyLs5muQrqbknoIyzrVgcuH/jPoKqAvJiHsgpWNXlGDEQWocGutdCnJfqhHoVSO6q
L+dP/8Peue7GjmNZ+lXmBVQQJer2Z4CRFIqLHeH7Lf8Idh4fUVeKpCSSevpZOlmZ5cyczkYC3T8K
0yigUag+thUhkdx7rW9tNcCq+p0HzTMRpXkLdee/WycKOHofQE8VWvWTnUP7AG1qfQcqGLTp4NXu
VaUhtNYVSfbluFQfeJLqDETG+l4qtn5CsH2VjigwjPbkRFzlPQmXTAdyPDijrmDskxkChY2dq4pM
9rrlZsyDKQHuZ3rudGmtq7pQ/YSqSiw9LJVWvNCo7o5dQp78VrDD6Aibosxb0iCW0yFsVPgQsxFs
izMlT6MrwosBXpNjI03c1JsC/lgqF+b50iUfTqSdE8q+KB0hfzUxcXI5LWa/OI4yO90JWBimrMfv
kcPVEZzbcB+SWB0Ddw1/qlYS5WsSNU+mbAEGNbSBdi+aN6guPNNrZK9Vu/K3dTbOFR5e8IXRoG+a
Spav8drrp6GR3Q7dYf2Ak3i8ZUsnsyHxoy4fKEXVoxQl6GcTBtzEBCqvpNURKL8gPHiL95mES0o7
/xQZ7d/ZUAJQcnlIPkc+roWoXQUFUMHz0VDB/2cv/rEX+3/N2SKD+s8U4J+34+1Hf9uOsX0SKMoh
jBP6Y/f813aMUa1xCAIg8jGxF57lb9sxYFvkKaAd+y5xASVt+vK/GjEQs//8ZT8I3b/Th/15N45d
6HQhZA/quyEs1N/vxlCwe2OolTfWWUIUcN5MUM0NQ9wcw5kNNzUNzzVDNRyi+ivXMEBhioJwrdx7
v6T3rZw/uTuK1KB2bBagYqglF3++bmHHOagxO9SaMWrO1YtQMKAKhR907Xa2S33Up2gQi7KKrhXq
Vm6duxB1bGSHlwCFUIz6NqYxVOs4Rd2CnZbnzHEgsaIihub3jBWAms4FW9tdZov6ERW0iRYUaaip
w3jdB6ixdV09BQJODT7RrpP6I0E1XiZtMUn/J7/q9guq9aEMAS0mVwsVlxLVfAJ+MEF1X7ERNXmT
+lycJap/MNUHRsglQZXrtPymIc2Fo1tY5iQX6B6YuwD5VbeMzedK22zZugx0Gz66DunBx0y+K5ls
/ivaEjbPpxV9SqkjiKf0pWmWo4ODYkE/w6p17zRN3qPPCUf5YJVVaWnqmwqdENxnGAnhU6D6w4pO
qY+njwGdkxMPF4ZOakFHFazzqZf2MAuFIwF7VjNeMFd4t5Ybz0bvo601i9GjTVuzRjt9brf2jVhx
Jcr23ef0PkF/x2qAIWjsoMGhTfD6fK2Wo1wHcILOfZOYI0GnSDfXD51jOECgFegly9bQlG3tZdSL
M8A7XYRb69nZucw5utHoR1sqzD7eGtXKjC+eN7K0Rw+LDQ29jvzR2Sqb6HVX/uh4G1iPx4lL2dzQ
dYW919Bw8PcL5qsXCdG4+wZbscPdPRdzh1p4vG+hLp8GCPKZEi36AwAeZxOsS75Y2LGdgYGaDJWX
l/7a3HvE27ce9kn4eodmICqPSRLv8JHWbPAgrpJhjtJmjMRuit0mmyNND+UCm1PhJKypFfkERhAE
XNgW6zyNGR+Fl+pKPeEognkZzpuA6N3VsR3ztfmugxKupOM9Ol75M4/9PLb0ZvWCgsr2AkNY561e
MtqVnwC+zzFIY0fj585ynpYd/u2ciXFG1R1C8+35ncf7Zz1PNfoZNJMlQKZsZbTNm5F+VNUE01du
zKMSc65ocqnlUqWRab4lzmzQCMx9tiwA6GHtfKIE+mmw3hNoqE9cP0sn7ioYuX4H88ZCau99HMwD
wPGxLet0Gclh7GTux/XNwvpT3Otnauz3OXJPTRKfKGd1YZx5B8DtuV69XdJ34mJLLYp+6Rh2HCc8
8658GEbo+BVsdbRtkIln6oMMIMOrblZ8y6L/5vAYDZnRMo9YNRRNa46l0+0bN6mzZF3eVg4IvZvM
Te1GH2wxH4ZCcpWmx3MbhQc/XAL8ZHeoYgmpVXjwdOG6CN/bl9x7nQQ8AmxTmVAQbatZpXNYv9rK
xy936M91KUBwAxpK5unDmWWuvNBmpnRzMZQvfgXm3iYKv2B2Mwru0p8dLwM6AqhXjo9M+33uNtbu
TIj7bsry1d9413IsIzxffiFaR6RJorFE6xYT7jmWpdSxwuX533vXQx1SVkk6AzSv21rDtRDHul5D
XNtyGmN1Y3pY8nadU8gdR83cC5uW58F1Tzjz17RzkiStHQuR2zXXLXMfdDVdBQN7JDZy4V+F+SCb
Be6H9vPQONf1HJN0sO2TZDSAZTVGeReN3fzAWDsUUqMqzRxe0nQRk4umdWFHOtUF6xYKuzJ29u5q
AVQMIIcHuICFmb0TYhR3Y69QpBLT3dV8qf+/7Au/1hMBrJG/agm/Jqc+f2SRtgjNLz/1awVCME5n
myWOXA7c7TjAL/ytIaT/wMQ792vX96UhJBhpCm0WrKJHYvSKv1Yg3pYRAh8FCTdGrhPFyd8oQcif
rPIE0h8JoUjDy8dECLSyX/vBafWxU86zuQzaT3aLLkExc7+J2gwH3XIXOoE9NWYZ2p3rQqWbOF2e
WqqMgO8wiJcv397/A/zaBir/XpdO0AEnmMaMUgjvyQi3q/2SPaIDAJOEzcvFEwO5wOGG1ThHPGQZ
AEaepIum81u0jE4NuyqeRCYa2cLpWlVEM/S9w7dkmtwb/A4GRaXryNMaODHZ2zAoP4l1iCn++oo9
4Kx/umII/XGyAQwYM/uHCo7WEUNHb6eLb4KqwuJdu6eFgpwopsjyAO20gadXR2WcYhfcfNXW9ff9
Ii3J5cKnb8woBXnLGbHL4i0oSzr1KGRSyM2wgSresNt2TsCgJkzlGMCXPCsmrtpOB2ZXK+zdtWRL
v//rT/Xn2wAdy41wI0I8G/6PD/3lNkTWqbQzduoyTGXyzKuYeCltPTwaUKrMrTYyeRjRtb/+9Z/d
nrWvbC4G6oPbQDmO+Nv2f7bL+vJnA9dUdFTVcBnilVxIy2YovzKr45I9//VfwvL5019KXM+NYMUQ
yCF/eM7GgdpVSMYv8ejSd6G57PYlBAYvbUe2c1HDgAdwbcwRggl0/589NNtD8fsPigfFQ54PGgym
E//xz0eRX+MI7etLJNrgvW/m4L3ttmsI1l7tQgnsy7q49Xv0vcAYRcujz6lL1FEnll6b0Jdu5usG
FksTDf2TL0cP6SCo5Z+jswAfcFbEEKCfUnkI/BCn0l9/e9tg7D9ePyh8hLdCTInBWt3spS83yg3B
agVB6SAvVfbvtZzgNhOnnWBB+9YO1Umzuv2o4mS8NqtgRcipqTOPLNH3CVY5zyyroozyZvmspR99
W4KRRae/vkga/OkmgxjAQwTgCIoaVucmhX25SrThtQuB3T83VIxlEm8l4roHIOcnxbTMcyaNcO+W
3gZzyhiLMkkGpBDlCORj9DII6/392AW9SaNOVy+66fnRqmlKx0CMT6FCkK9E9ZHNvGlqqMp+o9Oy
UcNFA5K+Ec7q7yrIMZCG13LoMw/l2SEIp+7ea6rbyg6+2Yp7cZlK8Th5vYOjf/HwRdbWw95A5xWO
lo6b644F8VvpzvTEQvi+a2WWJNMuo3D0O1sfnVjaPtU2XnOiYVKtjfkZpeb0MLtOBEuqn6KiROkJ
mtzzHgUjut2XkQMZeWVt+YHhIYAv60E4PyG9Akl+VN4RcMV4JCLpvtXLCEIDVGn7UCeliVBy0Ook
SzlnFt/DnlAvuRG6NzuqpSgIgdO+6/D+BCABuooR2PRYueuVL/N5TIDOO2DSCeHTAUeNpxFKg1sX
A3B/Nb2L0IxMxofAn4L9nDSOV6iwX9/jkMudck2zFksbV4VjjPvuqU5/V9U4BtnqTajm0E0sVWGm
hmNxaA3UHOxtITkSf93k94cB/xTdKZUcX3S/oJ9QTeNk0dYCRjwwa0qnrswQOx36vQzbXUVn695p
n1C8WEq6XQrhUkyFP+lE7Y0foc9t17Ur72Ytpr5PbY1OWX5jYBK89U1px0SwBBOJrZz/7Nm+meC8
zdM8j+5laqe+NaekBn6/oKgtj72s6zFFTok/uJHjHxvr+zMQ56Qrwea4icHt6uM4H8oS5+HUtVrs
whbBVfiAE0EoQUBh4IfWRmARIKAm03WoJh9PlC45gd064ywsQoc15c2CpRNWmYhHSFXEb1VfDF0t
k7QTOLzKnVnqMHNKpNXBBZXuQPE6DuAkGSguXRa6i7p+p9B/tQU4u34FLxpgxxy8Fo1RzyTkwgWB
RHWraqcHxlnV8XdnXqLazV3uTfuaxnN8CZDLK0+DD6A4aLLBKLHag3Kxu7HdCBquR/O5rKJIpEKb
abuwtwdXqX7MAs92dRaZwHYAi0XtZLit3osz9ivJkVVu0Su0vevcABlx0ElMw/DS9H3SH32ZTN2u
ZVN4jzbR94vGQYT0imkG4CaNmMemfSmXcXjAYeyfmmr1ALWNuIIdB+Cz7mJi1iSLGzvqcx9bPNoO
lorMS0KQlYMc2+VV6VcAn4YFt7OOFOqTYW389bNrMUY3j3EBfe7bngn07zU9VNDWwwyEnvDzmtdl
vs4lKEFHyxE+Wakbmvk1MmgwtpvVuXLLjhZkLKsAl5sgnEgsW/kReJauIHFQptPt36UkqZMBj0+F
dDFgYmcFWl07P6EPhdST1lhH3oWsQw3vLl6o4z/aTnvzJRwTC24bZPY5mAccSZWKWvxA0gP9L8qa
keFtJd3ATgK8oymUDtb6ikzV9EgbL3gPDLgWiMl4eIt5MJG/U+Fa4+Jn0vR554tWZTHsQxBu4q3T
GpVFUzXLgwpC/TFK5h+WSFflLm4D10uHuMTvCTremGKQC7msZvTpnZoC8kgmB/9Ch47a4nY2MrvF
65v6AKnI08chqpR3UztRgjZMbA9n0wgFb0IxdWssneLMFRr3hukBF8YVNt0rnGDJsx/D89j12CXl
pkIYfpxUUnq3jZzb9t6LB3iqhkJDOk9m2opPJAxug9YJzY7rHn8aEOcKusrrpy1ZE20ffrt0jf0J
1zX25II8KD7FLAJ8Vazl7ZolLVSAbOyqtr4bZIQlL2dUBRX+f9hTvWlgNwK5Nzmk/shc3G4tzXzu
HTaC3nNnYQrjRq6/s4vwtk0DiynDJ8IGYhIkKTIxDf1z6fnJKV5q2NcxAzkHDL4K3/Xg4zKMbOy9
PxlXXVUoc5srPg5tA/2e6L0aXHIRSSXeKIJdIkWWu/ZOPK6S+apkvFpyKyOhUeAi3zx6+FozNxL2
57Zrg1t4Qy4/CNcu7Qtog0oBrXT67wicb3tILTqWow+I/V3tWaaKMeyTF2eDcHs9VvB2KLY5KzW7
r/mkrpK+bUBoetLDHIEOYxLShXnJs2ycpdp13oBlsjqlnxzpwIn47LEh21NM8Egh6YQde9cEDr5R
s6zLDoeMFldEAq3KyqSbFpy0/uKi9BbNTzJZkkfHokyHTDhJ8m1SiDbBxSLRcqy1h19lEGZADlJX
YXUccVugh7ZJWKx8WaazsVH30CywgOJIHWhvAKauOsTNaV2i1v3YtZyfESSh187kUr5jYuiXq8pq
gPgxxEX2iEpEfXOTAdsItk6woS1TGlaCXmKBU8CKh64SpH4lfPVjOHiowOzTOPlOgl+mSrljkdNW
J6cc9QerXGfJukiF7bFOXHJnlFOuewmFst7V64yHtPbgh9+atluDC6DMrkMaZHHDMyWMmsyiulE7
zUbcNR0PNVTCNUKSIFaq24G2NBIEgRdLeHUCT39LTYXANbhelZXwPsSLDix5bJjEs4aTLnnGs96r
2wFEBDZYb0xAaiDgplMzv3nxrKF/tO0SPQXeIHSug2qiZ1oCC7yH3ZZIHO54oncjYjaiQONgzXXt
Ty2/juTI/FvPuF2IsQg8wecyxqnOrYTNlSPpgz0D1dg8nTvwgWgjk7YqFItblmvjukcrKNa9BcBe
p7Rk0flHVfpfHRs9//qSzD/mRr/GRv/3v1+4NEAN/h877I8z7+Z++PwqwfxC5W0/95ugkiBFilk4
FL0pEsrbuPnfBBX3H2GAl/1EwOtg6Hxx2GHpUBxQsFu8MME/8dDS/Cqo/DnW9jcElTD4fXMUB5if
AknHR38Ey97f9JnftR1kCWTv8L6/WQN28kEW0wU6gGkHeNwNLxZMyk+bsjsjGInyyacHF9BsPU43
DJzW0DU5ZMi7gTjZ7JOTVuN7O9O3UnVZO2BbWQlYLXpYGXDQ1uE2Y1H1pmx3t5Rluwv7/h0TYsKM
MgSvym4es5Xo7qq3nZd22D+gT07DC/fZ1Tzz+Bpb/23MtgEZmyW7YtQI1sMHRJ/CL8ktM/xmlOBg
sDpfNVnClA/hTRxAxfbmFvQPlP+bOeTfQs4bgEcMsQAWhQjqteQYWCQqpujol0hJWfOJWQ5naN/b
TIBHjSR73nTVnofzVYhoA4DA8Cbg0alDkZUmLHjyHTQyfPpJs7BQCxoUSSDR6iS+Re4CyA/sH91e
Gt0UAMbQgwW6RjPcoe6RzkuyxaX4ik44aK6ZXFE6j/bKB0h0HIJOIES3koKFSV84TfITqvTbYJmv
KZJ6l1HcudwvesxYsRG5wajkYvbNvd146a3N8xG/9wnL6s55BZ/8Aj2rCOcZGY9FBwe/6z9qOz+N
oA/zfoVDQExzsQu+OtHOd64pEeBvw/5ZUFDpKp7SKQZI74toueDYLUoMV0mBFOrMzssDQ24A/70u
akyJyCcxPM+4jFLAD2lrx6RU831QQyySMQG1ZK/EgvuAngatjRt3Obexm8I5uK9jfqV1+Q19MIDy
MHykPLx34H9mzhReJz2HyhZELGOjgNEv2b2DoTJBM9HrgGOIjRHNI8j5n2O3xrnT3/Ws/dYM8rlK
0HWFXqCzCh/qAEVIQxCH0lVyU2VgXAufTgY1MEby8LotxnqGS7/ZYy2GnCyH1kOeAoKS3Xlq/oyD
YMxpCCXfjcZXzvtdgpEk1yzAty06VWc/0l6DISr1lTQwmTDgYAW/nkLiGc+rlU9ibe/LcY4zkKwy
5TWm/tQGLVM/DwgGSH7lctNdkx4nTqxe6zC6xlzM+2HhaCbqpM8csq77fkAEYSgl0EL06BBDvZ/G
QTzEC258oJGKBpDozuW3cnHQbCwBrLoYAZzyoH2kGEhZHqPWidMAD30KhbcwK5JukBZo6lWtwkgH
qZEKgi/mrPa98leVBcqpsg7faDo58jQtCCa0Iep6mIRkg9sQuN3Duul3tr0HBEswcyVdqvUd5/37
tISPEAQe247ks4lv4fy2yOTAPtUeHBy/dp7BdAzp1EU7xN4LZpfwhGkZ6BLIFOC2w4kCe/KO+2pP
VIGiH0eaojnwc8+hn55R5851zsadhh3MswHRmfUdwN/BjlOQcfRkuF2oUMBDRKmVfIa1ox+QpORw
ciayL70KMJ0f4noW4Ox6xhOI//271xmL9C0K3RYaahp3zr2Y3U/V45GgYV+feBQ9jVJcVMeW1CP0
cxzdm8jRhWpMmDpeR3dIyGAcCWkK5q7yuiTu3gwUdxvf+JUY8KHbAU8Tur832ne84A72YLSiCcw2
SeFqV4eShubAiX0XYc33CbZG2taFgHsE3o6e14ndqA6xlE36zW3tP0AE0mlF+a1Q7r6R9HFcsVdy
8kAq4WV8jWXq8ui9qsbTGDLQybTOde2GaeDOT064kqxsarHrmqVJZYCHulXl2xKub3IS90zR6lB1
zmFsyLzZ1C0UiflhjEmfyxb313d4HvtIKeioHNKqlx/gVrBVwO5kkFbkuq8E61OPqkc4fM+tN71I
AXOza+cXmqzugXia5K7rsatVNRjugzYAWlzXp7wCuwOL9ihV8zCEPqJTMPzLlrzp1rgY8NOgC0sa
aOyYt+OPIVQN73kJ77Q6reWrrq8o8++GBtVuED43Tv9U+z1uzTDtw4FfvJErNDdEHSD2fBJs9CgZ
k1uIDFjaFFN/4DJ0aYRGcddF9ZzWlOY80dcKsdsl8Q6RQQrb1Ha3WvIAj/qKcYvCrppfogmmmium
k5guC7DoKZg3wre6pdYHoMyTeu8J2SC5Xb9gnMO+62RzPTjY/ldHnhMbOcVi5xaajmlQQSMfqMYY
d6tElTtWpyCJnUyFMVtTwqtEpHb2vQM1/DOue3bWwwR6rsKOHb00vNd7OdWoGycIGRfC3DpjCvc5
smsI13Pa1XWZcexfp3JaMb/El/zGXR2kOYCBHxdQHhiQFMfvM7V2vxrjYT+OxQ6HRwMWrCr6gJwB
6h+xG53CEo9OTD2kGJ01dyT1n+toxA6xiCqlyjkwQS+UquowMPfTt4iH2OoDR06TWmYO1nXyPo5y
r3Xx0XGNyic8b033s6nbIUUWce8hDJBOkDKgq4WvzPQIBJOpwegIthNE8RQaFwYLOdvcrvCq2mjw
j8k9EVret2V0cBztweeObvzRlFk99wSCqvuErx+nOOk+R9OcoHZGxQg0Qapw36CTyJEOHYrBINls
pTti+BQMTCL064DMD7I1DwG1edgFT30iboFqT2m4tkdNw0LW3S1CAX2qAI+QaXyMOP0Zm+vtlOgh
6xgegToU98SRBTY4stcU1nBC4HAwgMIIKR2GcMIkqaa/iRJp07ZksMyT1u6kmfA8IHaQs3BliI+q
XW9gnI8hRevNvfdVeYD5NHjCusHmHIcXFLmvUkL7jroo472zI7XJAh2/4WgpFu3dY6bSFVbuIcKQ
klRo9jSuasyaGog1wVHbItxTTldlx1+CkbzqEppJMEQvyjNnDsYGWA0Aw8YBMJQE1XNv3SEjTndc
65Ok8myqqhi1h6kIdXzHghFntBM+zeNyXjG2wB3qj44GJ9ESRNx8e72YeD6g0Z12gwnPPYmHLOyx
ETqYRBbUYS4Cemi5d63d9WqWvp9VAcDrcA1fGt33tz5mVOXVFDubYuXlC0MQA0QOgqHUw4C5frDZ
CHduhzGCB0U9nku3+Yg0apjYzLfRqPx9AiNsXyVKXfcC75cXvsZYvi0ghkBr25XOPvmR1vB+JDdA
biPFEU7OCVBqvw8ZPyY/sh7dj9zH+iMD8t/StP37tWMuepf/uB3Lvrxp+c8t2fazv7ZkGDOMRgW7
Y0JAPmN+/JeWDK+RoCSAn/tb6PtfcSeyxccTvGw7gg2+odL/aslgBMJHRwoKJhOo6b/jccNa+4Nf
hWg5PD7MM4EVi//QP7RkSR+tybAEyw3IZLgRmRTcPXWG0NOA6HWTNcCLbVMhrQj2IgYQkjdBv6Qa
XAYbHDfFvvdoQGy0sXlYQHDYEgjTiAYihVABxaleIeRPz7q3lwj8B1YNEkyYDyZAhmBOxykcAfCb
jRlZO532SNzqDScpo8TssaK++3E1ZVoJcEIbfgJVw9vJDUlZY1rMTYOCdsNVEsXe7AawqI7aHTKR
gFpAt1D0HyndgBdYxpg+tmKco8bBtEExEnQMAN182nAZue2wtf4I0Zc0G1ATkOhn0YATXsDahBAN
U1jdR9/EUBBRlEEafw0ruo8jZHVKDHljG7rjA3zzNpgHfB1SOcB77Ab6IH/9YXn50YMAcjcUKAAu
UG9wUE/bfQtaCEHhoSAbQCQXhCwRRfpWuRQRVFBGI0eb6W/gEaZ+fIalt17Aq7zXY1BeIbsKbw6J
lxQR3B1QQnLvIaeeUzg7Wb1pgFyZZK91e0UCsbzFySJ9ZD3lVMBhzFZQyjsKEBj5C9/NOhg9uxiD
TQA7YZLo7A3qbN3Y5C1M+SLm9ZiXnWOzCSMMUgTXGCLicJ+sW5e7wVX1Ve3ybh8nenrwgmV91pib
lHN3K2RV555t2EfFqtv2jcvFOyFYG74uqu/vlSTiloVefYyJNNciKf18sR0/QVHFWeRQ2lyXGpw6
DAVzPcsVHfvau+WHiWsnhgLmiOPguXctT8iOMT0+uZi1suxLYBQ/oY2tvtO4Q9WYeBDFJ8yFaeM4
s70HUKPBEbCglk2VhFSvvPNkMVWO6J3Q1bUaxBtclQQzB+eLZAPGy5STKSJ3QQzA50kRBSjAqRkv
dPKmQvQu+mw5oQZIruBEYbIiBsSlg49BCuGSQOSgqFQ5iesc80jcgs8+w0DP+iHyB5iFddieeRLH
V4jCL88J/KxjCFEoZZB890Ao10w58rvxSucAuyM3sa1/8YX/qxW4f7fNHO9q+UtU6f90GEP37f2P
+/gvP/ZlH0coJMQrgUK8JsTfZuv9Jq15eL8fsCPXR5b4F/3s1308+sc2ucUHB0AREUW//3Ufx5sl
MEQ4DDERhOLR+zv7OKT0P+/jOBJwvkSw86Dv/WEfj00lkjlm801TAy6Nu4Se5WCu4qETWTDLZ8hf
OarCFiNho279ZFwJ524GLmzFijp1496SLaYxAYWbKnpC3I4Xm7aQko2XwxwhjE/bGDrM1CiqFlQd
jF03q0Y03JDeAd0lixiK/geKZ6vxLWGQH5wwghcHd63JRk/R02Kc9RSMg8FJY7cHeO7a3G6PNNr7
70harsB98Lhbgm6ZkTY5dttiGLdl4W0LJP5lqTyMP9ZOvC2jcVtQi3QQn98WGd+WW7ctPMidkOKx
Ftsfi7IiWbAt0wDrNd4W7rIt4aWDBIaBzbDrtgUOfvBCtiU/Ye1L7AEWewFzbe5hb3BpdaW3zWLa
tg0QyCJtsJNo5IZ2w7a5VKUzIUAzVd9LzcOfMCNvKQsRgFsHb4CqjilySOR8z1r/IW7cYT6iE3am
uxqzMg4gBjKMfg0PIrBqeAgnN5Epm8toSf0IQ1d8otGNBGXwHZl+fdxeobGfh7bN1364tY26YJ7c
aejYRbjeVTyBW1f65PRhzlfI+NsBiuhuUI/f9ODd11Py9j+VIJIOAXIOf1UJHv755vY/7h6//Nxv
u4cPnDF0MfUHzM2msX/ZPUA6YvgPEu8u6sQtxPZb9A15uRBY5PZaA5SAX4V5RN9c6PUUtSPeOvoD
nfwbwjx2od8xS8AJfUyu24ZM4ilFNfh7WX6aMcwBlIe+nd1ThZLP3nO1//Kl3P4CcP2vr7PT3W0D
+hfYhU/hYfYQNkOseA8szmZbfEWO0F76mC2sxltfJ42rkMNUmLzDfG/wb5mLti8XPDTt3QoOP75s
0NGrrCKvvcNoLkj5SIN4qAfGTMF1FgyeVtntkAIFlYzA6Lz64MC72xKMT8cxRlklmFLBHyYXEoRl
ZLeK6N7U6oA1i1oJo5KHeiJ5QMUJ3teNE7cfnW3fHcyRmcfxiHkarxajc7K1ZjcVcryx1x0jBseS
GPldzhE8ylrnnaDRvhZwp50eHSM804NYxhYIfvMUxQfhK0yfGF6r0D3Cq0QRR0YMgBs+OxCLCE0g
3277z3J0UfD145Ry12D6jZIFaOZrNHQ6jwdUa5iU2aZj5H4YNZx86vQ5ocPjQqoTmKUnaRgmxtXT
S9tbhcyv/lmF9GSpHArRjOeBGZ0nIvJR3ZZBVnL5IGuoqRHl066y/rmvBplNyr/rdFJl6zK/Oo2P
Kg0mLl5Jjqkz3vS9iQQGaiBIjQly/Hbg9CrSku5GivhK14rmEAJPTGGvVplpZoihowd5FiFcHBbr
CwEb5uN2pnx27gMN7fH/sncey5FjWZN+IpRBXKgtgNBkUAT1BkYySWgtLoCn/z9UT9ZUdllXW4/Z
LMamt5VFBskIAPf4cf+80PMHWbiM6E72qjQIjrqsDyzj03PeS1K7SnbsFJRTVWsEskF0FfWfBgsi
l1khKST29QkMvQtQIFxgNIWNw30/0o6tg/29H+3dYpufdQIESc7kGG3x6bA1Dpw0+XYKRIJIYAhr
evchaqxvkUj8DslX0qDWa126j/U2DjRO+hX4QWgMH1qa4iQSPQf8rDzkCR4aAZ4/cdDoBoNztOh6
uRGK6qJFDLeDqzyO2PR9Je8PsRG3G03EF/BzTVDZ0eCXobHJwaGC/LE3RANYMTnpRTdGn8cqYp47
PmdE97xktr5TljCmBh4bZqOxNSAA8rCKs+uyIIYXEcL2ua88Riy8S2HWRx4sN1Fu24CNMbtoEMbH
NOfTI5th40j+Hra9vGZW+AD2OsVcX34JUFrbsVUfsyh/7JJSh2G1Pk+j/rqwle9ecV7hIQlA5LFv
G1rXEDVkdQwLyKogYhhzdqh1Pv0bZKMmRJ4Fcb24WvNgRnLxQNHwKXfz7DHD1nowlym9tQz50DT6
XlnqLzz3hySrcy+v6h+YMZreI3m/GXon2WayR1RJ0mchemA0YY7a+FTCq4a+N6dXRYWFSFHu2yF1
sfileQPxpsDANkrnpNgTaopbV36Xm6a38PmNjHo3VcY1Qn7h262yU0AO1VybzFb1uavsl9gxvxIV
+za3tcYTCKEFCfQxZj3miHdlGk6yT46FObxGA1QO7jn3balt0lq7r5CHpabcgwYKLCV6Ar3x2jkm
h3315EokV9u5xdZ0vXQ9GZwMT8X8YxjxgsV2GmRdn21wfvhZw5jdtbAAHHPb1uPZtqtN27CDNBYy
XIkpvcoF2ZmiKIWKAtC7fSpQ4jah3n11fbzVm+lZ6b7MgU/iaNnsmFIgGWEpkbHdUCa0UgyzomxU
wJBPdkSGtGla3U8jBFXTqfv6nBnGS1EJ5YI5dWOPJRa6PF35CVkl6hk1dzF2/Vy1voMa7TlG8ZQ1
3bbt5YuU+RNnyle1aI07dTCXWx54zbbNm/dG1w5xa/yYQudm1X/d3IVWWDgJgzCuNIAqDkGNPNkW
SwGAAu/YdVTElySKPlK9VXyZDfmpXWZ7UxOy5fdRZ58GiddS512U8UOSVKyGDeU4jN3LgOfjAsSl
2IYKagJZ3M4bE549GIm4BwxKbgXdUC83CsLcg5UaczAT59pEbWWWXOUd7M1uCERvs40roW40ec/u
bRz3o9ZLljag7YyimneyVGN/zGvXi/os4WJPzL1EUNh32Yjpqb/vBBK+pe3SkRB5pYSfCekBb7G0
h9qsXlptukRmax1cMbyg6FcrhzM8//1j99ep4PeHLul46lEgO9OZsgY5//zQtdhy647eDLeVIzeW
Rnj4weKnZuNCTO3571/r11PE+lpkMbBsI3Mx0WBC+PW1OuTlfiVJ3DohQbunZt7Gyr/xpv+7l1j/
/U+2ZSzfeS6HXN7Sw+KT/Pbi8U3Ul/+D3wNfNKYwizPWOrP9+UW6GEEmLaW8NVpo/1eTclbGw9+/
xF/fFv5Uf3oJ69eX6PEXRJqY5K1wLkWzXYoe3u1Nab+n8795pV+N3v/rTfnTK60/yZ/+YiwITQpP
+GUatkJaSXBSPw4FPSabsTguMGr//hdbf/BfD3kaNTs6gy3DsAtA+deXg+M7LW2vSbheLxr7bZsN
bHyai5ffX+b/d6HCVE1Ozf9adX7gaJb0819HjfXL/hg1VlWZDy5MDOzlCBZ/GjWM3yzdYNLQgFvw
sf6ZqNJ+Q0h2CZiwduBtc7hyf6rN7m/8d5U4FXZmZ51C/hOVwv6nIYDfT4A5XT8h2KMZOsx/ukfg
Hp+spumK21Krhbju9IGc5jwkamESj1iR8NM0jsSq7fqzGYu3pVri3aSUFzahMWPwxzxKHNBDtG+x
QTZ1gmDh4CsehH1We61ZITU5dUacrTmljAFlFTwVawpM4jo6K0qYrWlSSJBhddPN/Q/FylZ4sPwB
vB2fIavYwcWNUDnJaRJQtww3vVbAfLVqxcMcXD3hRWsM+pB/s+eW4CdlQu3QfowQMpYim3eq7nwo
ExYa2Wto5tHetvtzuWQNnr049MxGvkpHecz7OffTTLsYZv8ScQPfsU51YPQY1k3EaL8Rmgt6ycw4
PM7RO8e2ateZIzlIanHgct5UAj9KvOgXVbOxnQ7J3aSrx0I1v0Rf7FiEv3eC1bM+Z36rKP7k6Cf8
3fzf7r5Q25fBSA7VNBCuzKKXqrNe3PTDkFVAGP+zc93PVu9u2iV5NqvpMxNOEZBLWgI22LcKPyz7
ebkv4oRNG4kAbKVDtJ2z5ALS8zzUynkxmtBPVTSYWYfKaTZOcUg5O3qmhnoiVXGrmFivcGJGnqkQ
L4km7ZTGVrRLlcHaNlF+HTeDunG6iTAJpBNJcZJr90enQgJR3eKmnoXrz1njHNq61HczT2YHXlLQ
rt0m9Zw7u8yO2yBVi3FjjSHDzKCzrMj5V3vW920kn0LH3ubJcGupA6p8iUVVcZtdK0rQ0boDVzI7
6GaUeVMv2RvLZfYstT0Uitn6ra6EOy600JfVeOJBwry6cHLucR0o7T0bgFvCB4copa/G0tOdSKvH
ohd7V5twXizWY8+qVy2ip65C0Vd1jn4L05UJMYYMiQtJalhesAzUFJjUx9Cun5Vh6IK8k4+KS4Kb
L803S640G2PMLrOizxuD2dgjO/JddErhJ1V9TRXITSaIRffzpHtOJa+GaZSbycG6Zssi4lppnSCt
Et0PM3cve1YlmdFO732IvKx2dRgYLQBrI0ufhyyw8+TR6BlzHbrDNlxrgRAjDLMegjmEaTbjuPL3
k6YTE6nU0xoCELgJAnznRrAoyh0DdbyZywaWmV6cmTRKb4bb4ieGwQI7WlZP6ntG7mj9rF2EcVTm
70xlXFei9r6yuw2uoTRgkNw4onoi0PGNdMOuyRbf7aK+up17pcr8XM/zBde07WEdijcWK31vLjCQ
DN17LpaCqergVMtRDO5qPcLAwWcvxasr/NaZv/WufQM8eZJVf5fXyjUGgGxLXVywZNO14Y6Tr6kj
eM1yRegP2YoRi1kl9f13TZyD7L7Ug3yy35OmfUMUVlm6w0zVK6aKSTrWEa0FRwHBS47V4oW7Lgz4
ueWEmlufveYw7bIGwYbinBD7ARl3w7CNl/GI22D09Ta6t+LpncYjxm2RibUQIycQAumqE83eQuwD
cwCgL54uPV5ExnHoPVMsAzgDUO5Ks+Wiq7gkHOs6Z7baVFN4rnKj9MUQTr4N0BQk+k1Vuxc3FHtj
mh3fKsnXDHOOfaw+k9pqtqy08xeU0oTN13ilgGz0h3y9sM302bYMrAejxL/pSkAVevwxlQB+BpGw
3y+P3NDvZ1GN2N4LDH/6cFeLUfcSk6UZ54kd1pAVmGoIz7SA4DjlMQ5xSGVNDotjvGOnVQLIL7ww
MQBIVC1EvCjna8fxYlqps1/K4aOrsKm5dQuLt9Rj30obxY8W5ZsCFp4XcZuwo1LuSHt8MItCQc5p
BGDqUPwcfwD+tqU8qxB/vbbiFOMUoU/8EU7yjLnK0Dmox3hpg4p7Nkq2uk0Ttd/mffUxuJQJ1XyQ
4CVu5z7C8cZbjqJTtL40jIyUiRptkeD4m+LvORiG3LuRIBwFD4GLxoTySIQ4nrM7yTMR/DtUgcTE
l2LaJi44BRL04KyVDqSzsIWBkqqVBRwDSJ9ZMSqPtBZ+Q1VKGCBQOPp5R6Tlh1mZt2lUf00a364T
6Ytl9QDgIB551lBesWRuwNgv1zz/ObDB1lU1gM153fpi1tddGWirJk/zQ7c0j4bOhZ+XxrMCFKJP
+h+yybdumD7ysFdPmDFLxAz30CXRDaDMB3fJ9obSoTtAPVhBgQPFZazRTANKIpmBaoVsydYcA922
P5OpwnvTVqSvVjrQXDn3Wlg0G9OMye4vU7mpa3zpYz6EB7Wd3y2FD0Mfj/qWSsCHqbQzzwmVI3Pj
e5vaQZQpGDTTGvBGxdfb9W2VjRojtBptFA2BKIU4BZmC6AYb3bSxbtXBeqqEBSUqn/ZLZHynqrS5
x8JO1hGFNs5Ukti0Wcr1ZBw9tZr5+KVavwYTXa9ZtFcLBLqLUW6zQNfzWoW7djwbUZDaMGEsJX1X
S/0aTAIptSRMfeTCU7ISleAx7OYFJXEwCHwNarZPo34i38vEqPYIgI0eln61sphgz/+IIzyujRO1
25FyGIw048iiFToDsXDuqtYzRXCaF0VIfkWjPMStfGxdoIFl4vqVzGEoa8DWB6fHnlo1cEXjC0vd
ZgM07zCs0lWhuo8CLStCFvSNVd4qani8jcX1ZKB9TZGSY5EqDwonJy5IBDKJUlajmE2QKqJVQlPR
0hpLlT41cl+yxtVZW9+WStWkgfxmr0Jc5mbf9irN6bn+OaLVERen6QD1rkPFa1Y5r0TXC0ujDABp
CH+ysueoKKBPTAgXDnogjjraKj+obbjiYCAARbBA14b0WK+UnRqLwFlPKsrFkBkd9MZIMfERy/RB
ax2o7miSdkFBno5KKVz5PHHmAuSz1F5fV+WmWUVNUrAY2Vahs1klT2cVP2k4PDmooY7DmitbBVKu
u29rlUz5zEybKDO2KmpqPXLpxq12l69CK5+Fa8NK8BOZuHCHrL5YqyxLJNTgeIlU27Tl9bSKty0q
rub0n5T+UbiJvtusQm8xqI9LnhynOX/QVylYoglXaMPjuPDhJ6/kuatwzN74qkZJLldJGWgp6KFV
Zu6t9MvlbByPFi4tlOilaI/4P1IvAqqqo1Xj0wp65Ot61bE7Tnkk3Dhnrhp37Ep7RxUTPyQCuIoQ
bq2KuF1Nr0bBmW/VyxOEcyirhxAhHRzHe4iwnvbDjUBoL1bFPUJ6JxzJk9Jo9vMqyiPOT2ZBVgy5
fkK2r4V7cJHxGzW9BcHgz6u+PxsxdYr5BjrMVcsCYED4zE0VF0GXatiifl8U5OVivcy/rw8ahUK6
u9zs4XHPjoUHvlb+uyz/R6BERyT61zPobf7++dX+dQRdv+qPEXTdTunCtCzoXYADUQn+2JWz03Lo
nTBYe5v/MDb93JW7vxFPMcQ6HJpCUzW+6ucU6kCH1EwSdDrMhd/rMf6DbRcD7S8qBVMoKGlNc3Sb
GXTVKv5pVz7OchS9sOVNP9EIKPrsuRrne5tw2gZl8ob+0/SzSsaSs6LxYBBe90dDCS+OLb+VWN3i
zBLeYhAbJcO9Ucvc8QqbA3nShh9tRGHnlNutNw7lvXAJcqhuFe7kCPy5wOUd1/YHw9fFGpfnuOhJ
t+Y9T5eaW1tFCD6z66NRdwXfMWZh5JZbzC4XXitgnqTiQQ7cKwcA+6kzpD7Ys+s+405t0R3EJPcj
7Zxr0YZ3qphuYvKElY10O47znR6r6lY4xojuN6636GrjMDJ4ts5SoMhRpLF4LUvjGw1FnigLnBDA
J+GnL7ZuT7FjlvTOZphrY2Nk4c7KckIERuHCdRUPDJbeSA3cYBiboe7wbVKIw6JmPixaKlilx4xT
6vJkuj/IUwQtXk2yykd77F8GFfdBncK9FkZC0eQcggUeh5jIzPw1kuYcNXtrG0h9rho/RRo3itV3
nDtEVURbeFGy7FPdvpGJfbZFRBCifaoU82MY5hPdN1S6LQFLWb/ptAPZ4TtqZnGHm9a9w18oTGhl
UKqW1HZ+boV7byXqRzYtqjfBG8WXri1MnfKx0MVr6rh4tTlf9WMptvVA1AJS/0lDUVXW87O1qE8J
yxbqIFNgy+FjPbVnni6nqIVK1+X5F67Rt2lUHmogdFM83cO/3aqW8jIo6Sf+cdMzTfo+2zoC9kQF
EMEPKisZZtQBpAsNfNe8TVeScw2m7SAU31ptIvzz68hh2dYrt1IXyaWKWcetB0c1Yg2WYr9oy+rN
KC1u0h104Hl6F4Pk86U1hH0ier6gxwB6zgltLM9uCw0KJ+pOy60jJM19ZfU/RoVthx4bDyZFU1HC
1L+Eza2mYqTTsnEKKK/B/AvCKVDigYINw2FzR/dx2vNHWkpiGWbcmZCp9fveqjduXWCyLii8Y2pk
uqUD9EzDCp0sr7S5GFxzrwUH1Got+IoJ/QIKFY9VM8d3s2zdQ5itnny7m3Z0RFHXNDBlDI2WbuYh
hgel1N9mKnsXyDPB3rswDtN5A0+gWR5Hk6SNZ2Lq7dDsw0xc2MTxmFMiHOKM6Gguw0UFqk1VEy2g
LNQCAqVB7vBMtEt3x0jbBQrKbtDLNj8mVD5sijHU0G6N12o06dxeuNzymI90KbFGxzizGWyIElH9
C/Jjujg1M0QVxzdTvPzQ1wBQEzkBmZOtSiHIkBVsqicNNx2++mDFObDLO09CcBhJ/EV1nhOzxGpo
hshenET7/sAJ0Wvxp+RTdYuasYUuTdRM6Qgpd7WnjP1RxGV0zrMJNhF9hDPdL8w25y5tb6dmeHQZ
/VsD0SMK5Qer46eqYgOk2iyVw8ZP14RHQ6pqS9bqyQTRSnasIIVrENoOR9cDjQSsPs4ZvZcd/5Wa
hyQFg9qbr7WCIqE3yqY1MjLNzWOd2k91kzB4ig+Q5hUyhn1jUWxtDbTdiCY2SHtJzWN0Unw11D6g
Wtw7ennFmweCLF0k7iT7kbMueeocZDi+cQz3DmihRREBrX2Ll2YsWXsupplLz174PWP90EUIZ0nc
36cDdwFdO6KZnTBTXmUmR2+U0R6TOicimlldYkEFc5hNQZqgBYNNRv+lrOmgym3Sbc+M55G2OZeh
q2wYROa9XhKDjsJ3ZS6o814eldnQ2bzOn8rYpJcZj6vfSrlnLmTxPbsIKVHzSXcS5Ed8/Bzdy0cW
yTQZ15/JAooy0tWCWabdK6X+aMNKJyTMu5Hb4ZY0hhpQGc1tQx7sAoEmtAZWrjwd6v7T1SVWrCLn
s9YVgzS9XI3ITLWqhn9L5fi5EZbbbbuQzP6bXnT9/6UA7/9r9kFu83+ryh+K+qtN3vO/nonWr/t5
JoJ1RiqXDZxm4pswBMr3zzORZv0GhRWmme5ADdJWC/bPMxG2IcMgQAUbewVc/7kXTKdL1jEdCEN4
d1ZP4n+izGvGr6s1TmKI8bjNMTzp1moG+idl3o6ZPCalma8no661tYTbsWk2pRTrW12W0sQA0as9
O3cDhuHCcyHLZImJJWWvaAmyhToqk1OGWOi00Z49w9I/I8yzfuWG762WXeDIF7dUSdLyvVjEH00N
zqNQ6SW2rG/SPOzBC3zMWkmlFARSY2N3SbvpLQnHoNDMq2XoioNS5j0mnCwjOjFZXeyngIrPtaoZ
7Hjdq9TqsxNFF2XQ1XLetiYeE7oymTYKLrXC1VrPoh3qLMb5mJnJlVP14QmKfUYrvEuVkIuB38M0
zKCVmfN2cu04IP6kk7uYMl/jcBY0E3tqBtMSqVx5zdmp1tZUHu14eNCsWMWCIGCEJBiVIqq+z21q
fcqSJ1bDUWyHk/t7SdM3WyYc8cSoFQcZ2uFVLdL5Ef53yLM9vo46gwknTr96ECuvTNLq3YK+tB2t
vAnsLudsNq8ucuySkGEVHkCWVJWjqCf1ykSr3CWxznTfDtZVa9t3Th6lFxwasBfnB1hqpVeJkgZ3
h357qwAbGbal76gCQ3/FaEUrO7lslfvwRGXulRYPxbrqiM3XsQbmEKpGdupD8k47CqsIyHlL21rt
Tcx7N0JqSa5n8CUwWiItjHiA8J1gwrjUj9eO2yAV0KBJTqufV77okFPmPWbLsR1L9yYZZ3i9BAUr
Dnn8EcIbN0QLgpflfo+am13plRtoMHUumOq1Kfh9jPnvTnFtsPnX89yWQqiy+uu9a/2qP+5dQJ8t
XIYUTWN0VgVL5J/3LtpyKaCGKcCu/B8+xD/uXTYMaRNiHfcaW6zegP89z5nYornT2aZNIEX7D+9d
tv2XDMsahnGxStqa6XKeYhT985I7K7impz60z+HUHaO+GcvrXuoz2lAx1vV6OQ4cTiQ3oyIuoump
cldHb+XCdT31afw6Gd0F5tAcxF1JQrgfdrj/g2yJMD+j1+HiyTm1rRsy6kU9ozQJwCs4oUpwIPAY
et/KlVcAN/d0GD7LodKyu54SwQtXw96VE9JjSJUVtKVITZRzFpaO9Jqx2QBDiF4JC8e3YRgn1m2c
z/atWTrc14QMif5byOpVQOJSLR8swFfbsHXpGuo4IvZQ1Lo4eRpE0TG2ZvI5092Yxsas2tOykXIw
UdtrCElHOZj3ZkQ6MLTLJ3XJH5DiyW7H9adOUhOtayCYwpGVnnpOwMZHvJJiWkWcrUF/tqbpacB5
BDZMuVKIXysF55gowRcueE7ABuZG0ZWE2PC4Peuh4fiFlb3pkXnJHDDyKezGWUl+6K79UAziSxVp
sungKXum09/ZButXItoNAXHJvSGqszfUUnalMtmri4vU1HCjK3Lnock1fVuVJDBLKGTIuvo+7hHr
ySsHhUxwGKKUmgU2QxhBVO+qGSUraQPQSp2ZqPW7cD1KLUZMIEPoewqMNV93MlL5bMcO9OtyyxrU
Hyq3GIcnDYQvM9xkdkfm3X2P4upkufapM9yVuUgdnbG4FzuklQ325HYKlR8cPre5OnGDZEnScvKl
kDKoW+KtRbnGS8L6u68Unj8J0eVBKT5l7E6kXMoXPtK9p7ujvbeQIrZ8vO4Eswsn/Orcm6mCEy28
BVlGH1RFgDfWWMSw0R1yAHaocKZPxWTn83mjjah6GXBMkQ7sjz3vYN8NW9znyW4yiR5aalNtllIc
ipH25sZ81rr+TH/0Q0p7g5+o3VMRxfcrwSioVdocIkuht6jn0Rq397MdPtB8cbc02NekRhQIZzz3
6SSZA60Nb4dw2c8EEolIKZ9toyD/ClqVZ5OqnUVj1yYHEggUThCZUgUW1nk5VrV9k8Lc2lYO1st6
KA0f8HLPsCuvzEz7gYv/CO43D9ouubbSmiSVap/wvWuIKkB4Zh4wGhdAILT0ncO03M5uf+O24mVE
p/G51JE75gLTywCqeB4WEJbV/bDUfj/Y+2X15dv2yrYrK3Zm2fioy6XcK4JPZxjVkqk9+cpnfdkN
tv1iSvOia7zDY4XbK2/1A34JIzAc5yoeaeS0RAM3qxBiK5v0JoksjIDZfZFDr4j5bMuYx6pMM5jY
7q0elc3WyvtuJ5kdeegT+G9K64GZFcRDq36HunhTjfyT49qhkYZKoBsiQajoXwSYn7rUdv2iKJ4K
2esb3R0u8wxPILGK12oWJ2Djs4lTAGaUONpisu6M1AGTnHRsCOa4YdGPXVY3G65yOAqD2VxbytRv
lgxmxrh8tIb+2jiusXfVcsK9ad8uw1gGDl3OgWgti18V1YF8x2c4h91BtftLXPY4hGs1Z7KvsGPb
Wcq91ngjCXzpC4BiEozQFiSmDNqBNvG0rku/TNTzONTVJjONr3FBQCK/fp2mOiD0sAInn5XYGBWB
PxbUn1eoVKVQnMlgxZWsdcLYq6E0z8lE+zI0qSlwFGqqDL25l6XVHWfH7jcaMKssKSfep2TbR5j9
ErqnKXeOa/yt8jAX4VtRTlNQUMK00W0EIRiYuV+36adllzYlrOmyMctwGwlj3ltl2xyqWmwzstFB
bFv51qElw+N+uOxY2L+1ODdLzKWRDHfVUMZ3sQIuEOHB9eZOQgvoC3eLoQUyhzmHd/Qg1Vu70Q6w
6K5IG0bbvkidXdfQDCfBHPshnTNHjsM/MvTwbYzH+qgT5vXNemE1N0XlPi7L5XGRBe+NnJWtuUJT
FJZdXgTyzTP78QDDjFWk5ixI5mC0cvcYustJSRZqr7W63YbZcgd7KoAriHHStq6WDm0oHoh0D+N8
Ww/xA6D5mQeilm9ro028IVZaPzX6T6shC1ownewmh3XVrBHWdHQSNVoe3/aJfssyVQ0yxNRdXS8n
ow+vwtwIGOhvRwKEGyNd1/2hxOxst2fXTD+dsvjIu5CNs+2GngVvJ8gV81gZzrwhUod3GzOvp6ry
SRuy9ypTbtljX7JIQU7Q6Y1PW83yWlF/5Yv9HRUqO3JDdPhCBN+SytZA5uprDXsRgTY5h+5QbemQ
HQMcJhAIwuxUOoW6T6c0emriPEhk+GrpdI3qXLqgHb85pb+ahoKk1Z/rkY8ydpvP0NTdDVTBDBZg
/oS7D/kqQc7UsT0saq0GmEOv0etCWoyzU07Y1Bc8U00kAp/Y8BeK1N4ewisnnIudmsxH6mMpbsjw
15jlczG352m1S1gzFoMWRZU39IiieTJz2PO18y2h2HuWrA6QSkEmpF+OMm67oep3HRTEjs2dJyvl
SU1VEKmnAkB+O9iHusve3SH9AJ3mIxuplIHabFYoXDdB7/idxW6ok0hQGW9PgQiZ1t1pWvg8J7hg
t7ouvgyAQJ5u2pckjfifuYEzq10lbb6OEJzdAfwmO05ub5zADqx3tw0nHc/oreNiVoU/1MmN1QDF
YfGmGXxzuhHJ/6anDDlmZxQ93YrucwTRw6+L5qxCI1oPMZrBA4+GhJ0Zg/+YHeNM1dgjKgtLrQ60
xOrYqhkHCZa5Aevt+0EBLGOnJoEOUeyGaloCuvIwxCKEVkbtIJsU0ZZ+Zjaki8HNop0vxdjwqznl
uIlXmo6TJ+RrkXZK0R5sIz7KOf2ONTPZRtK5obdhVy27DnlHd3YtjYTadOUo2UOc4xYhwFr4lF/t
0nQEBwOZhZDah+Gs7RPRh2MlV0IfqIEL1Zg3q3mvKn2FJEpwfrU6ticun4doxviNBv+k1TbVj0RG
unbj7CkK2euUQo99FoSOUd9RK7FyZ5hA5SbBjac8x2NVqXia4EUfM6KtheElcPJGypZGZaaTx3wr
oRkogWDa8qKF4RQSZ3aspMpPkWFSVxXYdW7E+qFStgqNHbjGoM0kTLqiyIYgHKsXaleXTemMDZuA
SIM3mMJeLi8AKKYtbo5vaOTP0GxMNDCN3xS7HHrdIbbFO2nA2ymBphrbiLFx0hfw1blCskxgGJNs
7JW5mnicYMrPVB5sHY803r/1veNsPrgzk3B81bQa4JpaBFNvn8c+uXEH+0oj9e6VXfquuXPQueJK
W+hjoXvog2cLBYr5ig5zyD0kAmuO+rWwm0Q1Vy1vHp09/qbbBrIFhzzgyIwSHucaGVhh+aOVBbUN
seLTiE2PUWdd4ce717NxU/bstc2iknvuu1euNHb2jLG8NLtuj+UfBpXOC5pt7Gcipz5JGznekPag
kBtAJKddV8vesiaBU3aT1aTRzdmDz3gw247lrjOeFWLJXgkUrTDTH5Sao1uwApVzcq4i9Wy68zYv
x7PQkVbxTi1N0LZKdGSX8gwR99DHySuWrcfarVovXfDYtbvJsi9ThPexK85zo78lbH7cTuHOWEQH
bPfLAVflGz/gI5Y/K6C9LNzEKNIn7gpvoqjG52KBlVQ16WmC2RlAdoFjXSzYjGe0E0tjC66+Tym+
Flm+Z7XT4vDp+SS4r7lZQSeMnwuw2P/wIv93oF+Z4/96oL96z77+Os6vX/NznNfJKwv2qwI/GZG8
df35xzhv/Ka6DOvM0JQu/U6D+ClFuozzGlh43eYff40yO79ZpPpUGPUscLmP/UdICsiDf1nPUvDr
/k4kVFUVPMWv4zwiHJ6WpjRvsjGPTkpUNOFlAhKIwU1Psp1ku8xNlGVfQ8KGBvv8IFrmB3NQzH0W
4uMoqKG8lpIdFMU2jkrFB6Y7AUnZM3g6OTTEcBKnlCSLyqPC5u3aZqHlTTm4uiJCOWMKcxfny4RR
yt0MKQBP3FL4Vhydykme0jLfKs5Io5yeDvf92KFhTdZbPrklQIHY3UCq2eWQXRciR1KP7hsqegLV
gizQ6eSjyqLd91D8cSx+oQzcJYZzs+BkJcFxYbjc0eL2okROfSrD6tTE7qGNRXLQXPmS95FPB+Cl
0M1HaF2Th5IbUz9g1Beti145/xxYvm1SNXzlEPs+xAbblLGBv9CPsGrjhJ8ZJoRhYCaEwmNj3nBP
DWwJL2v1E5CGc8ONmydldN0U4r2N+5t+Kb97/tCcXCt/qfCWzWF9LOzM9gtA5VCgArBn3LR0VrRL
CWeZO79dG/Df7BkAlvLitOvmToR+3KeYi+hCbexu2bhzjM96HTC0EKVGVntcvq/ZTGNxxWHONNpl
G83QiaM6/uwAUPhzrZlBqc07S0mOOWLtrgDUXNZCZzkOKzdp26c6jMXGaL/ZXap7K7PcDSokd0gT
urStfSsTpkVSsDfN2k64JCSiRrt5cFoHdcPN95nZYtTp9mAyADuMdBz0NXUB65oU7978NpeU00bi
h212xial9Y6e3uVVtPURheVtUpe7hlAR6uSrrDl0t338bReCAVdm7qbu0nNhz/sMJAdHVK0jjSU5
++HLwo6G0Pk/7J3HkhxH2mVfZV4gYOEeenaTGakzSwsCm7CqQsFDa/30/wlwQAJokG1czGLM2At2
NwtZAhXp4n73nluqbSy7twm71gp38dbpkzdIxXw8rjmnE4BvXukSk+cRR9xiBhrVriVqm/oQZM0d
Pz9qw7R4jAMr6rg7UbTloCM46A4Zq4GvS+aYG2pi01Wy/I3DuE7IsbcU71KRAysomlZBAnEPZSzc
T71+PfNmuJ3c2Nklmjvg1WSQOw7yaBixseZwxsSO18xRqVEZqHD1jXoBPZgJXW1VWB4TMekbRvvj
gTQhI+6qiI6uO847p7eGDYfkFvcjOoLe99uBkzQFhNdcfghDSXExOlLrTJdvp8ZRfpPGV5UN9UqK
Z9oCp/saqu/HXMQc0yp4uQaSsAjqcuPC8FjVtpFwHlErrB4tw9yS4aLgPUt1DM+NpE/eyXUiMQON
KlzaN6OiQ8XRpksiuTF65CA7tPhVlxIQlFHzWndLg24poQbUh9zujJVpuUfNNayjUKnrF4DpluNi
/Uk6FeZVNL4N6AJ7ZUZoOXlIX2IEenNLdwgyVDvrb5WQv0FeD7Zew58d6FTa4XFkVUpSa1dkBAsa
LdZ3fVLhZ5PL7zewM8pIgxMO8R1UrStGmjEVjh1tVvVtOPBT6+BJhSpOMMZ31JG2m8LjjBHP9WXJ
faxHjlisGfS+tTN33IayuTictlmeAcOKaBNfhAXEmJOrcLwNdFhHVvKRI+iu05r7OWGMCiWOAPVQ
b4ATX5quxvjfMRDm+oZrstzbXfNFGdQKWHh7/BKTIH+OWfLFHbOHrInTM37pG0o58X6akbfJCqte
KSb9IDWfJ0o8B7M8dYH7PsKeJxWaHdtkwE0nxh3gi9+TXv+eEATTu78+IZyiXDW/OCLwom9HBOF9
gC1gYYjGby44Enx3RNDxaVHZRMiPbfq7GJFhY+3iP85SzmRb0uBF3wxc1geHbCDKPdNP6lGcfwQ7
cRY9/8+UGf4tDgd8Ph22is2Bw/wZJRAY7ZSUjnUVzppRP6J7p7Q751MmiAdotOG5cSOjS+MmBvQk
e6x2BANudc1Ye4hqACOjscVe7egB53zXbqpDVtSzPzm9sWA/mxgyfxMcByPlRlmkxZzcFij7JQo/
RqtPrH8tWWjjiueVFMQyDpidEWm2Cl8LJ8RLugwNmOmGVNUQvWGegMUyoSU7mfyBWUMogt/Kr9OH
AiYH3o2vUwlqbhhQLKMKMMkIlX7IZ7XXRTe1+cXUJns/4e2JzCjYyiAdNmBHI3jdffkq4/mToikN
MBNmdVHm22Yk1F5kGFZjbY+9hBWwzl91mrB3KQx4SETZY6S0N3kp8+lSUMc3MvkhUT/jBEuDB1G5
t1mhs0n3u3i+Fa39OPTNs+2qjYkE5v2/QX//f+gcYFT212/Ec9H8r/+Tq/f0/VdvR176x9sRDjdH
dQ628ucBnHA/wNJ2QXkBF4HdwWzs24nd/EDEjuQveTuDbW2pV/v2fpQf8D4KZnoIU45r4bX8B4bK
/7AOCJTu5SLhUIuFer98/LuMaQzFH+exF1912Wa2HFofdmb1/N1fzC/4IdL9ecgHoW4xJwBPsejp
Zqb441epAg761mzFV20BDdIvXD1fCmQIqASGTDYx4ON1wWnp7CgwjV0Zxut0Dk6Q9+M7vQxv08jd
SSuMgDXqnMaFZq2FS1gwFZG+1hU8I5kduj68RD0m5E6c9Xm4pfriUs3FaayN66hWRz1OCMH3SkGR
ruB/TdAug44beiS9z4KgDZwELIpwlkg7pN2XyGJDb3LbTlZ10NF0GPD60dFQg5nh2ceBOqpdMIyO
32oNNZyeJLHQzRR307eB5UKaTzQ2OHRzWAaeHUaIGsnbXaQnob0Ju6pMN/jk8K8C6kUIY9a1Vx6S
9UEY6BCcVdwrwKYTmyeqO7IRcLcVNdWG+zTLyvbTStISo822tRPFQOR/XQpKgSv80lk7BYyXLO3a
raR24fOXfhNhdV84CIWW71z2b9/uOOV6oWRE47gRjG8zOXZjZbs3fL3G+GRNymlOciqAmkMbIcZV
W+NNKBaLmJq8k1fbzhFWhvqIQcZ8BvSqUNomJvxt3pkEtTiQr/HwDvPeDXvuCfrQeI8FraQrOzfL
DSM705flGK7TjllepdR06KXVX3ldR0iNv/MzCnTz0nB1Gyc0iokg5MqrooMGtGLjCOa5Ku2HO8An
x1if0o1XCO9OTZZYcTRCCJtI4xUlZLcxMcH6Cd+pomc3s8g9zVnv21U0b+qW9b6RnBRHyluP9tyF
G4dD6K5tU0FZdrDY0Ho0vYmaFdvo94OZg+gYZXOrODZuXC27RHl6QRKHoFVHt2ZhgQTssHna6b6I
8sRXhn7TeMN9S8fGI+AG9wu0GG6biW8Po/2lAB9uZY2fBJV40LVuq6iQ12SRbDziEYnLGXDkLNzY
5eemad/zqH6f4umJ3cGvjf7ojdmWBQQ/zrwzR0h9bu8bXrsXljzPJDlU3b/qVselUNumg+CCxeyo
m95yRmqqeKOAS/iDnRq7kWoZP7H6j5YNSnW2zQ05mQZuN0d8bZjPMpO0/MoL1Ed418nHkl9f09Lf
mrvOJujtrZLuHk/wxzFoNioLKHjTq5XBNG4lqFo5IOHGvpg4XjrODT/jndXhxBmjWXH7C1DVez26
hKaNjhjI2zYFYAim7KTkyMPMiCytCPzB4OUpy6aTx5sIJDXD19ofmeO5NEADMH7W5nadIGp3Ut3m
VXl2+P+99M5Z19+GHndPGpMlsGo6zMYVCVvc2EAH1x3ldGtV61eJlnwqEvGpTLJj1CSnInWPWA9v
ZwjTFLGQzkgvlkn6J62m0+w4e0obuZkwUKsSZ995+E5r7jnhSHRxHo7EFadDNef5kZHw52wKwE+G
eepPCj+5NRoJhs5yFzTwR+aJHvu/X3l/YQ3DKq9LzBw6uTaD//5x5Q0ngXPYTtEXq0RievQmyCBT
4mcMa89tZgyA15iPYV/HKje/i7Jqbqsq0R9c8O6rYhzvOsjSAP79xHOe9bHdQTn7QoWOolANDI6K
mRFzX98WM890Cr65CKxmPcTwQ82ql77jtntE7FcG+906ipsniV1tA47DII0JGyfN10O1bih9Lqle
aIN8J+J6JzG6p1iZm8z5PKXZPVSmIxZw8N7pserk2SmLs9tIb9cO1Do1U7SXI8zvhvJXO0D8DM14
p1C9/EZv7sypI0wU2kc99HhfG0qH0ETwK67HxzgCi+fZCApyktdmRAt1ZS8VvFFy6Usi4018SAZr
Z4GPgdtcHYI8AY/qMkgjprXV8F1YqjxT+gJnL6eZKQXy22V79jVATSWz6WJq4HXW10mc3sHe4FKb
96lv5xCmjVJfBXV9Qxyyp1YBCYom6kdzQjtXY0TjhUPAjIdp5AF1kVTo0lpmiTtRErk3xUfyRX5m
2Gub5oyBdchois+F55z1CvVfedrnQNjzqoSVydVuhGiZiYNWLmtZe44AeEo93eo0GNHZnXyEqSnW
cTMlGzNU18ZsCf8rRNosSWYyjuyeCkKPJw6k9SXFMHP4+0eVC8YP9wKOCDYkHexITKddc0Gp/XAQ
methrHu6I4Mu8o34WMv/Vu/4482DTwn4kQy+61nMNIEi/HTzoDAyt1xP4ae26S60r6Mu2kflXT3Q
LQFuHo721os3f/9TIbL+8HP951ddfu7vDlhdmbSlSevHRZ/ye0ycyJ/8D3bF35TJ2SPkdkFE1Xq2
A+NA7ATGAU1/vCsoGtDJvq3zev6t0Jxz1Jr6usnCbeoN4tUNTcfP9PjRphibsCSBidT8aNORfhSp
YXc8TXmx6WYn37ilVvmiBNNDanM6dHSXvRZ53G6RRWmniqK3lGd1Q8te6LMCT37r2voa1PV9Z6Yz
0lHyiBYiD5mC9QZ2AZlhz6b00NT11m4obpJWvDf0UEO65ISSDnlOGrLT1xWzZb8eLIwa0Xgnwxwv
V9Rjx1SAxz3ATE3/pWrIYjdldKhNbY/Q+DDOMKP05GjRyr6qEw5rUWBAW2ihRVDPeUjm+ITW6OdT
IH0j1SFABQmrrP7c68Tlozi7uOG4y+th0wczTzAl6a2i4Y928SLO3FU5x65fp8GlxPKxFN+Lwobu
qMb70Ga2OpbaQ9fibDIMCJl4undaidFKdMWLrapLrWe3VZnhtxrbVSOOvcVUqLeMvYNc5ZdCPOZT
uKcOBXtQ3V2VNnskNqpDXZvvbqV364CSssoyd6o0z86Qrv/L4/bfnvHlIP7d0zYAKewlgf0LbQA3
QDO21al6GnbzwdrbZ5etZ/0mhxWy1yX/NJz+/ovLH7X/b486l2d0BwncevnmvvviogzdHHi/dqHI
fZWf5brcUgMvTtqzs9U3+uO1tj4/95sYYf6Ff6RX01lfHaNtcGWQ6vwv382PF5vfvxmD0JmFL5tr
lPVTgfGkD6imIg6vQv2mNKh/0Z/rfv/3P/GPa9Z/fg2GMd//wHOddVoYQu0sqndV773p9u8//y9/
BocpiuMSuoNA/uPnh7cyI+tWbN7aTQVQtLY4c/6+Qv2roy0ZxL+5vr80zXv+CyGNV/1xcwegQwcN
V3Oqon83wf4xawO7s/xrF1+/gTj2583dFB8YzS2WWzrOlwQlD8W3m7v3gQuYzWdk4MYWxBvoH9zc
4f7w6/9BSmM7kyQx2XRM3aR8+8fHgyV61JDIhusJYYoanD6gqAHrzcR1LQoZ4wendk6UsZnivk/w
3Ag4u0J3o/ZQzhEXHgpaknMDQG3exKNs500ylDn3V6LItvU2Yt/HfQ+KYd4ARGBUoMZ6P9pCeV88
PRPt/dQ05JTbyDFJs0zz7FGWUQw25Fst0OZNZStJFrtOBvwncwE0a+V0EDs2mSSyvDEdkYnVYnzw
2y4RO4LzMCTqnn3xMRUaBVkOcn0kBcJ9jr2Sk3Y/7Udj6uIvg+GOW8UhU+ccH4PgMjyPxBmmKnoB
3fQ1CnLb99QgtNVUTv1GS2ubKAKoAC8kxaBnBNtQ6qzX3mpCspMZZDx9AjlgVcrcWVP4xR40c5Xl
7hcmhkS4MpVtnJKPlRptWbjYmLw7xXAKFb4adxlOqCiji6ylpyStNfQ6B6KBFC2texk2eXJemHS6
JTghpkjfu7XJPA8w+otwU+ydc6GOJQWzFLwgS8Dw93Zumb8nzmztjNRQmzLszR3ImWijo0kw/nRw
/FpdepPoRP5JhXF+h8WRVdXAnZRmNuUa7yFGgD2CJI9FD8snUybG5YKQItnF1zIJ1N6e027NlAp4
R11/cYYgwMjAhcbJ4r7xh1pRn9NKsuNF1hw9S4+pTwrjC98z+c3CLo7J0FODEuMEc0jWWs4w3Xpe
YO0Gj6arZon1cVbELFab7mroAjwWc8236Rq/pXkCdbmK4TzXJgfhgZsdfGvKbkqcKB28vSXJWN0C
yCTPoAYsx0TIV3TlVHiBJuCVTSHT7UyF8KbpCyyf0Nw3o3A6LEENPIQxT/aC7pl1FcTZ70v/v8um
YBX562Xz8vL5vX75xbLJq75bNtl3iSQJaXnLnOGH+QNJJSRPhC7y4DYf+iZ4Oh8cJEiXpdNwGRB8
v2zaHwDPgDHjBQaNqf/MokB8+udl0zWZczDjINFFPGv5Jr7ftTUydY1shboOKMpzFlte2xCsSXHq
GW36XOLcK8fW82e8fM5i6sszxY2nW9gqBIGx/Q2exYFyIB/lpKeRkNRqhjWWhz3LK67B5Zi7ahcj
IanxJ6oiEog3nrcxo/JNUBTGCbu7ajtQOaL/aONLFPgTrcWoGKnwk+2lvobm8sQNSN/nXHpVNgTU
eS+glVYU2w7vIx1wvP+E/IiTPPerxSCJUYs3rGabVIUHX/qheTdSC2vSYqx0i5gIFV7LIglvMZ6+
zHgwtQkzprfYMgsLISzBqWktls0OaxTO4XBaNU7x6uLrDPF3ZoyViLDzI3aL+bMpxQ3Z6aXt8ALv
5QSKimlDbekIjfLGiuMbfSmCj6KUBpDFXpouRlPbLEG3N8MbPsdmnQpKrZLQ5T0cWkxS9PiBuPsN
UxRshjpZscZInTOw4fsGh2uWidsmH+ptnOIa13DBhrhhw3Y8lQWGcdrB4VLjmFWCKjZVMCxl4lEA
LqYdXIsa1yc4Mj8Sscj3XmF1cGqdGH8CplxCYzRRJeNn9pfpqPpQ4MHTGVovdl4D4huUJuNsVzh9
TbdkZhoEt9NiAw7BEG8nxSWE0l9vpRa7cL4Yhwtb2xULpjZyuPtXnya9xGCoyOOmZYimpxyMbDiR
ncWSbOITxpwcYHGuYPMuxmXkhLfWC3FKL6bmdLE3p4vRecTxnOJ8tlVdXmDv4otbbNFkQSAZYZTW
cUxHgWg3/WKilrip0ctCmF0kvePFau12TN70xX5dyylbq25+62rdwHrZoWosdu14MW53i4U7Wszc
8+RecEEQrBjt97rsYdp64oqEdL42Wh5lpLDRV32EuVgh5wvNvs/xjveLiTxCelo1rpPu22aEAKyG
e20xndMs/eYsNvQhY4iHkQdzw2JSr3CrU8oOHMdMzb2WWR+9WL4iEu2cxeIux+aiZRrmaM0FIIAP
fsYPP3nmxC/fqRw/bzz7FkNLC31lZhSBrmEh9I31lK2MgTRA+Dwq3vMycQs0544SSWfcTkAibpwh
+0hJSYMPM+JM0oB1qKzpaUSmRFBiYj6SnHcHLKJF0U7YG4tnt+iG3ZAybowKTBs1niRBkcsJGnoF
3gcCBNbBh7kIrkmUgG/zGr8r8i9RW91LIzzk0j31LpmMFuQAoESJ3hhq4UWPMdkUtPaszBQVPavN
O70AWyj4vNsK1J5rIJajoR3gUcsNI4uPg6f2zWCeOGF8sVtnS8PMsjTBuVnKDwtaEOVyN66WYsQK
Ih5ojKUskVw0zRMj8abYadvnnF6dYjuGpTmvsYgX98bQNU8ogAOCrsTMaOsUlu6NyLU+qaSwji01
duomValyD22lmZ8CZcvgElv4vDI6Sf3OC54pWbY31gg2i0hhugl4XvYmKKfNEONiGHjuNhYx6xVP
4cfO7PYzQVLKJu09rWQB2UXcBUOkSCwUwa07z9dj3hGRz6jZwlt2k9oKdYKALoQjyonqJJUYN+Iv
qnZuaxsXlzZY2ylqyj2E+JScjXOHNI4M2z9VFt5P3sU7N6ifZg9qRaXPNx7cxS6ZrDU58Rcxso4D
F6SSNbsTg0jXbRs0+yrV6Attgusp0eV6aiHha7BT6ZMbRHLIF/9vY+QvIElCyH54gx1MwlESv0pM
wzS+v46YiPNqKqlBsnbB4i9mjJFgYEke9PFMbaefJfuFjJnPO0Sqnda712pxK/fYlm3syzBn0SHx
M8P12wjuuSvazQiSLa5nJ6OmcvFBh4sjul680fnikiZlkq1iGW3axUE9YaU2el2ss4GDk8RmHcUW
x/faOQcYsIvFiV0tnmyAHQ9VKK/Mxa1tKTIKdY1/GyN3Yhc3BcZuDUstLa3Uprn9W7x4v4cxPQ2L
Gxwp6xSU87OFTRzL6fW0+MYlBvJycZJ3cbmlsxsru0teBq85hnQFZ6sQK2r16PCNjDVUjVU+pT5N
XPeOlxiYacx3+njAfixedsNtT/HibsfTZvMHR9BL9dFcHPBdFGKPwhRPqQHrM2a6pCdDpEX39GO/
VFjoJcfKpKUoDnd9sgBMdIgw9WK8d3DgZ0K9x563t3DmFxofDfDqQxT8XOLdz2S4+3qM+vc8uRRS
/N15EizuL46TvOjbcfKr4xU/C9rw1ywqH/rjFo7jVRpszxaU5MXq8udxktSrpEmHazbQj999st9u
4c6HpSwDVpGBEGwyk/4nt3Dsqz8fJ7HMIBOY3MT5LviEPx4nXUb0JF30+drIwqfK4LyTovBi8q6Q
Xeds61b2TvAQWZOGtus9gR/HMtfBuAdd9hC75sUo2kMWxxtQ6kHjOw6pxU3EUOqRnk+xKaR+q7S8
PrQshMSs0lh7lZiruBQLow9PDuQLahhzncRN6sT7pmXPy7q4u9UxzuGxt++HZJE4CQ56FuGOMTf8
MgQ5Vo3FwzRpT7DTHyEYditdsibrNecLbboOI/co6J4gifZWz4Bgk5yK2Fi/K2N5w7LwJPsGJFLL
Oytol2FJTXlGkH+Z6jlehVJsAxPjn6wRmS05XrcUTEMiHH2rNzqfDPznashmv9WZ/Hmju1F6S5Kl
CMU2cWwnAH9iTocBqOAai+FJdM61QQtcJ6h47Zy1LgDP9lnIaFH2p7ovn0Pd+6iZDtmK1KBMrNm0
VvaURDNuwnh+bKk97jtRXolgoeEVXyQUyL6O7rxuOZEa2Rn63UFk01PSdCet6L/oNUdSXZuctTSM
Dpck/jlNS1oa8JJ91WiUN4T2mnSD9AOJsGuhfl5LxAauphUqfjuAXitADnkQfwp4umTgJm3jJsm8
zsdSrG3deQsndcwNXLFtEIMbHRk4u5IVy9h3XX0dpIT7DSR5gLp1VSKC2F22ay1KLFakhw5GW6+b
xrq0I5QEo5AUq+b91qRbLSFPm6Qj8dOOg18+vii7ILnKXlSkS80S3KgBjhwNLtqLXlMbU/dERUXC
TA5fM6AH94Jbpd+4OiFU2YX2OR0MYCV5fR82TMRlm+FTlIqhvOPF/lx3exiRlJzZ1BenveO7nNZ3
jLiAa/L8X9HYyaJqHrSqecLXstc7+TT0kE9V2Oh+20iBBCzjM+oTxzvPpgnOgm8e9CRo85HQFNUp
S7GU0K/K0ZC31JlwPk36nWeWjA3UMaNveDVW8gU12MIRO0XXDrjPNbSy7eRmkCKbgdlzlMKdyV+n
ptjKPvqtUNoq8ihwUCG/zzid0mvw3KtozH5f3d/G/63e2eWoVC7y7xt0fhJyLR2BzrAsJFx8dIt5
58c1ojRglaWaJ67TDJLPZ3ip/3V+9osv4XHbJhyAVEla7ieteCrV2MSRbV4nzWuX3EzlQ+6d/92j
iPlSfsDv46/3qKuX8heKx/Ka77aoxeKCj8uRv9fB/blFgXqBHcPIjE4CfjM/bFFMPNm+wCwwmv+q
IX/botwPGKU8PoJpCiH5n5HbCX/8xxbl8LSbgn0K2gI/8Y+PX101mWkxF7ouS9AlQrbgcT1k0NKa
HkVc7YLQfTPJL/uUzL/SAf8psukE0kfz1FhBumQZH72+8nVrulgzpUxWyyUK3CicMjKA3P2mwL3R
U0raItFJ6hf1XTJ6l8GwzkVW7Fzl7Ym2X1OaBsYTzXldK2Ic4GHubavotmwh75qdI6NSr5v0pro4
C9pdQ6BcuZW1meRycdH0XWZEB90anHUp3SdyCjeNTK8tUvBcH/LeOxt9yrF02gUjJ8XJ8m7TWN2r
ISHAtfScW3GBYajQ/ak134dCxZd57sqXvOXrTFa/ozqbnlF0Gc0W+0yjQxqxuqY2E2x960EKXgM5
OHa6SjayBKDTScfzk7CCnGnRZJ2+KkbXi7t1VfbNDgt6lKwLjAgjXlCKJ/EiDcm+znP86q0H1S70
azMVBxxWJ0MnLo+tDVrqBHKlhngTJGgfCa4Ub7DvKxomWcjqdq1xP2CJrM1rN7UP+cAttphhoFqN
lR4YV1zZrOJGnrfrpg0+Ncp9iKG+HyLN2JtT8M5CBcrKHMG62LCmwK0BuObKTcxxX4RBs4K4oz9M
rgegebQOWY6qYKryToh0P6KrrUPC/eR4m2pdRE1wsFGEVhg5YHnHHrBt7nNzSKN5FaCaQ2B/q0VO
TqMS/ZpGb3nnVcJdzVbCAs+JHy0u9LVW6Nv+a+KHwH52oeIoP9hLIEi5AGgHCr4OJWmhcYkN9fgs
V7Z04l0Lc7na140qoDsi0hxB+HwmSkyGACT6cS7DaI36e6gr9dDoDCX0lopzrWzXkBs3TdhZm57q
KbfPC3LD9UI1/FLA7gLZMJz0sf+tbAhg0N3+1MkKaY7U1boPSlpPXR2+0Xzu8vGcEVKGPR5zjXfR
0QoyHYN1yWeXt4T21A5CX0Ofh3JIhMFW5rUDha9zxdaKYvJGJv4XL2l2sSPPqU1oQPdaonrBda8n
j9640DOs4KBkZe16rm/rWFTRpo6LZhuFOfaQ5BJCWxtTFW50z7vkqbdvLYIvg6N9joLokat/tVaa
Crn46Z+NqHzqE9fXFBp77Urx0tcWMGXtIzELAOCtezFGGAZispNbOzE/ocOfGuF8dubmNFnl1SxM
CtFnQGWFdT0SdL3kdUZYClBH6dgnA2Ie/hV9RZL/rlc6RPpoIlHxkGgbc3JPZURMpWfwCy+lJqWi
PUS9g1UvSW/dyNHWsqjhzgF6w5i4hj5/E1pBsbaN1jcG5D+A55pm70k1w8IN4oqDKlWPNZ7MNPQu
JE0ORG6uqa9fd6R8a9psTj0dDrskmz95NtjjFpS37dLQWOOv0GIFDbI6d8N88MroVVqLF0cARckG
b1VG8X2bWq9eHVZ+NzIiyivnSWmoXiILeBPD+6V6qt1kFWsh2al03DU5itrvFUD/3gqX3OJf77h3
Uf8OFuTz+3/eDJcXftt2FywbYwbJHY96V4dd7dvFUOC5dth18VOxwZN4/PNiaH7QgQIys2U3ZNbw
vbEaYBt2AbIJNt5IwyTb+A/Gs96PBzI2bYN9f3EeeLbNFcH+yW4UyqWZuzPkBRJ9VTpnDQY82S0P
bFqm+54ZJ6ScpZH4oR1Ah40WEqiYJsoPpjayWN319LoroG4N2agdLCs3Ll2iEUKQTX7KmF3cg0Md
rrvRLM80zxRvrWqHo8yG5N4UQ30yi9jL1+3ovAcyYnE33WCLtW6x41Rt8QmmrO4xyETSrIdyBe12
l0gx+HOaMxXtbfJ2RjTfycaOOjLUqN35RIGE7nqknW2a5GQsV8wD6asIneQmy7rgQcZeeNcRHArv
9ZjS7maXOqKaD6zFZDRrcCvoUsLJleQLdnrfkcgCqYdJdRrcYnrhIt/f1rVwBzY1/NM+jNxev7Lt
Mt5kVlTFj1o8W/DY+sRxSMXbVQ2A3kDetfqp+pRAnjuYPdPgmeGTj/NzVZfT0W1LbuK5FfqEoTzr
1IPBeMEBajOGDFHhiKo0OFyrHtvfFOWGwUUD198UQjOmf9W8m0UD4Ef2OOIKJ35r4zQ8lvi1wO7H
VXtwKzfq77AVie1UWzAI1iEP5nDJvHTKtX91ov9LrsZc89crwqX4FedM8po/FgNkHUM6klQE0s7X
ANMfq4H3waY2SYeYgPniq4/i29RxgVMjFMFA4+yCWoTr8NsZ3PnKfHQ5MOPh4GX/KGbBYeDnMzi8
R1Yp9EnkC7KaPy0Hzcw9vrM6+0oZ+UxNuq2XxOjcsDJ9bVQ9OsUcdEjHmrRBl7gQ0YoLpF3OU10U
4xNsLT29uEvbEsApxdcA8oGgYG4CrTNjb6PwseegrQYrHdnL405BM2Na4s+6MhkWJgQXykNj1lBu
vd6yx9uOYwfdDlqhto5FU1835s8oGdhSGQ+1uQNZo+kBOvWYSZluZKtOac026PSHmB6EOrfJL2TY
3Cf9jvv2QqlZCLNByTwuO+VVcBbD+DRh7iM0UQSrsoTeUR7STHHaVng6IjuOoEUAAqN0haGEi6wB
iQqD7Dg/Z453A9qlYxRmAPeisAHk/fJeBeMIL+dY59NnObajH3X9b+1IJwVJTnCQuuUjsN00RT5t
B7vHG9t5uO76ql0bzjz6SWunhJ7zeTNh/yBRKjeY4ycfizdzXbf/rJnjCYEfqakOamAt4vM4UkVJ
smxLbGQfWbQFAGQ8x64s10tqmQQJJ7NqODdd0q37qJf0ghr3mqlvK6eTEHqCdbb0ywR1UB7MMIFS
ZBZXsSzu8GqsA4cWCeS5kLqXVc9gi0oocMjpqwmyeFWHFFaBkOqp2k5DEwWxVEczyDZ1STsJ8Qjy
s+0Yr+q0SLbu5DDqNCj/1Oi/hPKNcZsgg1DqucuxmSaFh8g+GZGv2epmdPAwm167FlV77Du6mSq9
flYFSdQ5sU7sRPetGjf2mALiGsU+yeM7lffnyIIB5EQwazgbM9ChYqBEndnXSRCu9dG70a2Cmp/K
eC9S0exFSTLOyosrS0C3DKl2zI3k0bHsp4wepaKsrrWwLAH5YgYxQWlTThkz4s2eQCj5ixem042P
etkVPgyYXT+k92NiHRhWUekUhMRZXXzfUxMzqtRleMKUTnrdmzEDDcNz7khG1LJ9HgOYQ2bzYDZI
ZZiPdnnoXceNRY+SuzKtlplMwIGc5sA1/CtIoQlrvcvIw2i7eyhSyaqIRUdeRx1UY6p91VZ3nU0d
q6s+VRa59DECU+DFUUWy3BRrU+8e+4iJuUhI2hR2eNS04sjJ5IW7AVcRVUnOu+Ier/I2qs0H0Dc7
WmBuBj0aVmNk3Js4F3yX5uQVTDYoZOYlckptbSTRdozSZ0gA+Y44/Uum5nFP8B48CR0ZWuh6HJ2T
3DeytNi2bf4xzjnST0v6Jx1n9+TpE5Nwoe9gutdnWtm32cA4KpAId2TR4IMBh0mb6VoI872mgpCN
uLoqHQeKdxAeUXMpMRHjexJ5dzFMmJUNZRZiFBC0Zp6+DD3cqr4n2wCT3gTSRztP2SzhDQdDc5B2
93iUeXTIoxEvp+yjKCMqIKbCWptFuE/U+GKHbQ46drkm296lA3AmNPM9aUe07JFLJSd+HijGnHgj
v9SMPSHr7ae5+Jh/nYcyGIVMiJTMqFRfZqbuqGGc6Ow7c5TmQeHkWs3LjFXI+CIYuk4MXyeGsOTj
buMapGwaH8K2ug/C6ku7TG3xHJwnxri2Vj6Uy1zXmKDZ6Mus11umvvUy/8VetXGWiXDMaDhfZsTO
Mi2GhkXrO/PjYZkkR/3w5C2z5a7ADNYv82ZC/CAsmUCPaAQcYPTFGsWdf5TYBBhYy+F9WObXADCi
TQ4gLgQUNy7EOAE6Ll0YchB8nr6Gvw3wckwp3sOFNzcljL1mEHR6U4CXNj/N/8PeeTTHbW1b+K/c
enO4kMPgTRA6sMlmFNMERVEkcs749e879JVN0TJVrjf1xB5Ire5GA+fss/da3wJNNyrcDDWwulpQ
61ALEy0tSHaKYNo1hXVBYlaABRxsTzRJuODGowEIj6+K4yc+XwUhzxCsvEhQ81bUGRb1tx/b8n4Q
ZD3M3/Nen4xrtQ7vYwu3RQuGryBY1A0FmU8RjD4iVr9ogtpnCn6fUP3TbHgrDv49NwkJ8N9XSddP
z+1T8VL2P2HCild+r5VUhbkZJybqnt+BMH+enPgj2+Qm+f4nvOpdraSZuowvlf/BBUPy9b1Wsn+T
Eb0yDUJtTQTlPzs5UXt9rJUQPJNcSTGHrFXlTPZjv5JU7hLE/DydzxBgPH1I6g2TrjSoAbAU1txv
OikDqAQYc3yY0uJQA+XYmrJtYTlKCDZbMLIBalWuosgM6H6RmLCUFhOXRDrI/fpkhOqKy7B/mcym
C6yULbnOw2ttkMwzzDlYv0fSj2vYpkda+kEaxbc96NYJMhcTa/uk6NUTCqnXbF5up5gwDD0DStL6
lqLuHACubAQF6s4CZWuao/hcF1xys6x3cKURGuiG+ZJa+pfJlB6zUXqZRroMQmnmzdOCjqAqvjUF
Q8JMlo69PA5oP0qeVsHsHh3zq0gcA5hvKl5OCgcoPJxJw1LdxkV1qZpRYFZgpayF1J9m6EeykbdD
dBYle7PWrprOPNPy8GWFar2UF6ZSTwDTsmNJngX53ncFCoJQDZ/j0rgZDYb0cvq6RHqN9Um9tNtl
QUGE5naMOppLPRGRA4mGQx7niM6oOxtHA1llAmBjCfJ7a9J3dMtST8sJUpdL3P1rhbykSBRmRSFV
q9SbHRS+aJfFeucWkrYdiNS4MpRc5YSZA09ZyK9QErRvRiVpZwRqJ4Bv0JxmtlKf0LG9qtAWueRG
yVsaNXuA8InfahBR9CE1dgNh3dltGUlWdKZ2a3HHno+BNy8aJnD5uHqzZk4UnMlEqpP92jmYN+Lx
PO4ZZpK5AWa/f0Put8aafGNLtSQ2T9psia6EG6ODIG7Jyex1CEiA/y/lptan6qxY1eQLPcnbtk/m
Hdz4x4yZkmfg5Tqf9FT1pXoACbPYN045gXg0toish22+0mRt8ZBIQ6j4A8jMYCbPjqKnjK4KvWhc
q1PL807gBWWuJQaaszleKgwrCT1xhp/Uofl8QTheF9jDVN8g6fnaIQA8WJBRyNKLX2olngHpAXZJ
0HFJdhXSxcelQTSmQhHWD7sWW/BObc38ujGb/HysrPImU5fer5WEzGy9vqns3u97kyiRgSN2RHT2
bALZGUIp9VJtoD1XLedT74QehAfgb9SdgZGo06E3FRqjoFBO+gWmWFh7TTzdklDPMJVccNC3KMoi
3VlcddalPZme0yOsmwmwXxP6id2XW2rx7DnTjG6XDxMUoMZGgRzPu5EGLF5eZ8VyRAfVRTLQXk6a
Ep7GkcY0c1yOHed5hHoSW3MFAjcFS7SZZXv2e/B6Z5K9Am0Bne9mxrwG/+5Hb5Mz49P96GbIn9qf
NPHEq77vRbTqGIjKYKtUg5xi0d97d243OJRj2BM2DFyBf+5FSIJ1pm2gCxitvjkp/tiLBK6EoAZU
GWgIBSjtn3TxVPtH/x6iVjrnio6IhP8qVMCizffO1BSFmJjLohqO5Ppwkk2Gx3ZBF5VlWPRljJxL
m98ZCr5XSsSzpLUn31BQBjOPuii6ag8IVXI7Q4W2zAStk5ID1vAzsHwTAMTkWpazb5yvybGpRmIM
pYnEkEk9q1aiU0PZjLyiq8/LWb6bVvNR7fR7B+s9bmNH34Q5HXZHglytSxIzN7x3aiu5FrkhblKn
t4ZdPtZL9WWMifKtEOt5oWnetjSsSg76vSPdMWuinERYoSVnYxaf9lXy2FU2RFyEmK1mkGwU2UHB
F3OXPDG3qlqdDEr1UCzyEuiptvLPElHc5NPOdqYvi1rjB+6nja6vva+mhMvoUwKtSrK/NfFo+Ays
Trs+v5mIVMZxZwRGZl9B1/3WdM4FtAUe+0ZoY6K0D0IQSXY93oMCfw776iFs1HMO9c/M55GnZm0U
DOVk7TqoolHNeizEv2n0mKvseHVu0yQg5sqd6up5Upwz+qa9D4p1wgyrvanfmFU1YMng3J/2XXbS
6OEpWaRovmF1LdW0QQVzEiH/ilTjalnHVzKGXqyivdGSaEvn755zV+HLFh+SH8mRaSVME/wlVeZQ
qwJRuDTH7gxK+GueOpUfMrys5FCmqcD8o5DVOz0yrnQwDT5djxs9Ul8H1Rz3SyJeji9+o2vDfSEN
uw7WO4uZiYKB4SK5N+nWNPMHxorZRq2HoxobAKYzK/fe5J2yLjGyyjayhQjatOVt08eMCzNELkPN
r0blMnkqQLU3jnzDnMpMug7/OU0I0jpRFmYRJKlwAd65XkGu2E6lsRmITvQgmYtgZQ48cj/DVF27
1M8H7jg8H5Jnr9zES8dvWKh1BBFrva6ilnctbRIexw2YgevV1k4gqKNRVHMO200Y+VEOTWIcsmdU
ifc2bWzXMuuvslK1lEEh4TtIQzkT7+j0Sl4lxTuZSCpfsrLSk+Vqi/F8q8g0qDtZYvYFRsvVRvuF
zsKpPVejC7WtRrDcI5hekEkjMgZMMHOUZdCq0v7gbgSir/VfkT+TzNyCH9bXer3AeacedID1Pp0l
J9rnYIroemTTHdj5dgzaN3w/lwGUv9pbETkqtEU25hvs33oD/+t9TXPGaXMCAcihtS4IQU/Mi6VJ
4gutmaOHZIDum3MLuXqsh8e6g/PQm4Qyc06SjWjH8Sm6jhsgRJFjzJdyLhG31STUBL+jjrDgAD4Q
AKThDYbUvIGR4LAASeoWlDxgk6rfAUqppt5nkwxeIS9rCgca2Io/m9azHA0k0TEyb1HbTKSui8wk
3WiwBatWdCP3Vt49qOEYkQiprQC6Cf41w8fMSGhIyGi7OCM681B7/26Xb9ulzu7y2fGt7J/+4z61
X59+5rERL/5j13Q4wVlwg7D9cVCS6SZ/3zVJ9UBLIjvgvThZsWn9uWsavykwIIAGmUJb8kO3m9kX
0yr4eZpFVKOIOPoHs6+/nN8cZCuqGL8hb0Gt9qHXrcWKNPVLoR/j4nHtjvP88O6y/ERORaLkxxOi
Q8ueigE/EImThsWXfL8rD2Gn96ExD8dhNQJVrV+XWj/mISeHtn9Fasga1iZ+oXMcUaRyj1Bj1zZp
MFhwgE3JrLYVbN/SIqiro509xBu9q79J4ITgiZwOBlVrB7vOXeP8XCFeIkNa0jfaecSWLvpz0BW4
iJ4Rc07baLRMO1YpYz8jjnudDBlgXxGbyEwSi6D1JP8GqgeOJ+V9oHekFLWEe92nORGwTqY/DzEE
l16hoa8jJjnACmXFVuxz1OpSkNvtvdPi4UT/imBH16eLdJ4UV1OrfqO06PyWtjygZHzMVPUUvoDv
OMVyOkXkcuRltUMIsvpt2NyERr7V1gR3PA11QqEeJXkyXDyZr0UmEaYJqLJDVr8ZdNvHFXNtpQCI
5XqvNZxeZGnHwnHSk0MLqnW5nDOgKGQ6Q5xufTyOJ41lPYXKSMgbClTIE8ThJU99FxZ4iHQOvPaO
IKNzidw4o5yQpqsPXRadQHneMUE/1cvG8Ft1PMvZnE0Eo20NL5aEWTiDzm2KU2G3ZvlFGyJi7FZy
XxIw8A0gt0VKT3RJvwHVg9lyhVmprfp1QnfJi7s5DgY72S85sb9GahDBkJpbuUkYu5ByMuiwXmUU
C+CjXIKXxk0MUXZeqQn08U6vNGIPjKPZmQ9dv55niX4VF7SIh7DYWvp4BkVxXy3TPuLQHI9ULYUz
7YARncJTujaVClNZmt9xsLhVQgu4w7CpWvPEXo2NNLePuFnxxfYOPd/ugd3IRzowb6Vl/ZblVrBY
sdeGhq9l82k90aAemoiB6ULybg/0xNWt0I1M65GnANtP+hCFYN9ndL8baRi4bZrXpUp3toiE0epH
4ayQJPm6w0wBPif1ESF7spF/XbPwktDC1UWFepqlbUYbEJuHLlk38Yo+iewAL0oiMqyL4qujFNhe
MaEG9moZECHJLk6YW3CUBYJtmNepo98PdQcSRW3JUazF05NO17KSHqQB/4HaQG0wSH4WvNSr2QZU
OjDmOCAUgc9qal3g5FQpxGCGwdQxJutVM0gYE8jYuHynCe2vbOQA3Sn9cRbUJuVQ0Y6oh4tFol4B
5JIc5zYxT5vaZL7OpXBJqIm8Vsoy2jBV7Ov42Mgxl+SgX+k2lH2YXVV0w6BZD/KhNhkHxYvq9k17
6Pv5vNbrbl8yX3cBctGEUJtuh3wgDaJkOMUFjc0jq8HV4NAN59UJ1hnqJcyMOqj6pmK4nOTnFlP8
TMQHXa4j3zgM62djXW7bUHuysmbH+naW4qygDpUkph3SaZip6KlyxXAz05i9HqH3NdJs8KsKkTV3
Q1ZeTWNLDaea0GpgSai516Y6wF5lgGNaHjBCsSCCU1es6bIcSMCuLWgWFca2JtyR3CzQt1699qcI
ybexgeMol+8oalC+ySeTE+bbcs4e9TQ03C4R5r3QPCg9cJ+Qdv/XepJUj6xZkSGEgPsmUwqU1Ym2
1ThUexrncabfaxaA523PVjs7amq9y5zuUmlMHH8UOXMxlC5jSp8lb68q4UDD2Wz3+TJ+ER12cuS8
gVlj7nctKK5lInSDNWc4mWSzeix1kR+USIBDyGtbhhaRtS3O/ISVnFda3jLCz6xxN6bxuC31Ytmy
9Md3YcM7qEN+UyIh9PHTOyfD0qYn6ANpfRkmnTTN3g8ZBDe9sm4g3YIC0VNydwq1a3DLhHR7subG
DJcbuzTW+zUsyZEZUGIZQ6S41jRv+gX8cy3DoIfqhr+MF7rtaAz3bZLbm9leEjI8CI9nV4p78PQl
P/FEY9MuWn8pqgdzrJHzMd6xlmDoqnN5sU6yZvki0/gcE1qUVR1/GXL1xh4aByDaPOJLSVu/CvPF
Iyqds40sP9BsItdm1pv7wSTiiVEsppeYG52JHZLKULtXZ6e/DlVj3tiD5IAx5ljw+fYsjsR/cgne
sBjIayg1HAvaJzqbHzdntShgJkRpeeyJ2KCZsjfM6XJqu83nb6P+/H3oVdMl0HjsPxYBvSWOK3F5
LGBydab6hVXpAuX5I8slwpDF4QdY8t0416jQs12nxqT9qK6tlgdWqlMDtWPqZJdxOFyZjRxo8eAN
pCGXUfiCawJKEo+AvkLhk6Onzz/6Tz85GiNL+EU086NY2yiGKumdrDxOTKOi5UbIaOLqd7n234rO
P0Rl8zs4FhInBAxoo/A7v6FY37UumEfXCxEP47FGZg/xSN9rQBhcOWzYN8aRBGJpvIdpXF2WQNQW
rFiTTQxptdAqCDWsiWmxiaV1uIRF7lyX7EpDRYSBjAxIrxjnGbBLXaOKjglM7zk0uOYqz41ZYH1Y
iOIVbdynjHAhJY+S7Uq7Ds4Z6EP8C0B5tGepVTcwFolX0xpgrrqjeFWjbdOY/jVbEaVNbMJOU1+Y
dj7NlsC7YqOYrfxsWS1wW9Yi4cme0jM5roErz7TWI4VmeOyklq8k0W04KMVNMxnsH0p0ahS1sYGi
1+/IDgnGii1OQZa5pFYW1LJ6jqSL896K8lnR8tNQfhr0zWBYe9bFB1vioGhNym5J9Ydca+OgrEvQ
WshKNaAaq07pMfOY+VbEpHqWil3bw+gqlBm98PiUJWr8vHCals2m8K08PlOrNaeB22xgf+G8Veer
gnM9Qwm8fOY6H8Cs/85p/dvbQfnp/cADCWPLAAYH7vPH5zLUpApUn9EfmVM8aU5X+Gs95kcTV4bL
evoYdUZG4AbnVZM8puQtJTw/46rgxIiB26lRd4aI151W9cyo7HuSh+NNVxgNlnQZq6oBsitKGLAT
UGID59OLncqm7pM41vh2K1GPsBDJRVWSrNxcRwWdcyXuKnaDoXNRaQnTFBj/9bmtzCcHqQ8O+cry
2kL9Yqq0nLolYiCv+GaF/LhlMokh3bxPbZMkTvUb40RUIhPLADB4s5xvQic9tWjyNMgxSGziDiEw
a1GvjXE8y9L4ukmMK3QmdBH6e3w5OumAYHPNZqAWbEbgFYwZbMEH0UAtyqjofMWUniTuCa92tAdF
k+6VmK5e069aEFuImFcJJfVckafXbmU53Tu4MrGqgBgcfT0DKGXb08HCEDQpY8c2L2Yn/Y021UeH
wWmHBE6bgIujTystbLMLnxNEYoauFcHpqVWam6nSia5KMFcz0FKd5DKrpWy/2GtQdUtg5ghlawqa
yow4l/AwjpJzOTX9KwJbYacV0zSSkOGteCb6c5XIJ0UxT80OLqmGYc0mojPQo9WbRIWaDfGpRKJ1
pkxQSmn1S8mFEevk2OGfyaRDwS6OO2tnKzkBo90G9knp7HUS4hR2zTycNj3bOyLh2h+khnZRJm3T
yT6sKQMqJ6ndSYkmejcsuiuGsRRpuDHZF8TR7KIS8uPUnJZiegeKUzrP6wmvT26d6NF0wCzUkMxl
8dvUieJNcrqL6+lM6jgl5CQSaEVQDVZJM/XCNAILPcBkH4t5Y4Lz13ehNd7VMobuQj4zMbQyZtFP
wUACpgrD8IAMy/I6Q2EgksIjnEYimqkbdtXSd/5iWrt2pAqxKiLAMd/BGWuVX2xt4kn8YQdl5X73
pGri+Ptu5VZjZ0mdOhsQ8yOH6s5IOfPmkZbwdJ61Zwonls/3I2Run77fh51UjeOS0wUrQ1W9IPge
5yvcFGV0z/zu8zcS8tq/vBM4ZB0+GCNe3RA747tvNnWIrlN5nBGTL0BtkrkTgVQ3pNNX+7jC3J/N
IyIe6ESVIitnaCsN10wrZk0i72bi3/U6RXplTH2Jj9HGujfcSkl1XsnWdU75xqnH6ztVROLMftlH
m6JPHstUv5PivL6KBpznRhz328IYDgZadQqLYFGwGVDibctes+4c1bmuVyzHpAMMGiHtmnpYQdMa
tXM+ZdGhZdvGqn3I1JKHSRKaGw8/311B9zvJw/1UgxTNZxzPRgFnAy95PkUPzey0d2oE1V/ttOgX
V/XHfsvvG/37iyr8P+8uambqQGGRXhzt+TFevy72yee/2q/+/Q8bhyzl1MhABo+JfY3Nw220L5+/
wV/qIe73d1/gDdny7gsUZpHJmRotR0O9YLSKoTSQ4+X3ruLfboDiKnx8qICM2EBkEHhDuf/xKs1W
ByJE51s4aK/6534qqEm+JLP1i19D/fEeF4h7A5w20yzBmrSoTH98owUUxxSttXqkjHlmU/Nv8k3o
EznvJt6dW7p3e9MbT79eJV58OwdPebB85Ynudtr+86uqij7bx2/8bhl5+6DvLqszJk7tRCwj/Wb0
AWUH8/WwJS5i4wQOKZgbZct13igeLX03Dhy/HgP9WD5//imMn32Kdz/uR/h3Hna5raLaOt7PezWA
8bpxLiz3vNPd2N/eGd6p6Rdb5xhv5h2EzN0NYYbbece6565bcj2QcrjoHXzpdNiV2+48hq3rRv5t
5Q5H2Vu2xt7ZV4dp134pNteff3SRevCXC/j+o384yUhql+Twfbkv3cqtN91LvalvFJ9obJ+OuI8i
a1OcVNuL59Ng2JMJOHvpCeqPk/RIDIsXQudwv4Xe7eef6q9I0Q9Py4fdIUmqsYUpsRzjvePG3roD
Q35TMrjGgOSabugSt+PmW/vY7NRHGmnB5+//84f1z+fow2rDUiOh6l3mo7xWgTVNh1XKyAKVq19s
SmJV+Xj3vn9eP6w6dmJr47jmy5Ga2h2nZ3neTahfNFClPa2ozeff6uc/9R/f6uNhUiLpVzOadDji
ZuDkd1VHl/+/N2AG/n6R1mbGn2bBAQpxrZrSB3Qs//N3+MUP81FiLhW1XVoLD1pVH7si29Tq/TrY
v/hVfnWdPixunZKjtbXS/jiLXwVegDOn3v/ve3y4wYZq7YayK5bjNM5geY9FhmSluPj8TX5xd1mi
JHq3NpphJC0059gNyOnQnTLI8p5J+OBZyEvTST2OJIh//pY//X3QEVgwFjVyWT68JdgzLayTfjjq
RJGmm0xDRmBuP3+Pn/48797jw0NDslYnNbE+H40UObB8WRS/6Cr86g0+LInweWYtrZrxKLNo04zO
YKt+/hXe9sfPHnyxobz7aeKEoU+Ycx9zNnAxMJ6Mu+yMI4J30npxEJ0Pv4TFfoit+15B/fH0m+Jb
v3tLhf6f0qsxe9Q9jeGSVfUs4r3d6Uk5Xfeje7EiY2brNgKYXK59KblXfSB29YuH5kJDFeHisQyW
3t2VXrz9Fcv2pxv5+6Xw452TtJOshDx0yrnYyFGUbHN9Xyqem211/650T2BZHV7lrxzO2i/LAbzD
L1YvVSxPn/0oH373UerMuHEWagkfqb2PS0A1XeeQ+1dYjk/R7fkPyMjdko7tpt3WW9uTfrFC/+oj
WB/2PcIrJL2c6v4oHSqX1OfVTb8RmeVbh+Fl3tVBcWptYa69Rg+aN2+z88hPXz6/Nd8OXp9cBevD
fZJBCtG7klsT6dgGr4abiKpun3k3437e78mydtcjjtA7gPh+sam31gXJq/4QxPvJjR9/xXsW6qi/
/ip/Pu4fKce2RLo2R+Xh2AT61tzibZk362Y9TQ6K+xztww1Cm329o6l3OnvWl4C4Xn6ifpttrhNf
FAn/LQ7+VV6L2vDT0f1/3Je2fGq/JT9zqolX/zG7139TNEVn0bENDV8a29v32T1iOBxHYCFgRfx3
rP9dfW3wJxDsOVAA+TAtAZL4rr7WfkPKLbK7DPAfb8DNfzC7Z278wz2F4k2BzmmYHGDQX6uaLP78
3VrokBtTO4oWH6XMVn1D+CltFMx7c8RjOb7ZLfumb1vXXCRsmFEmLJnh1HTplyXN0sB5M22Wwr9J
AEdEaAeGuPFyfrN4DggWRCjJ3Ky4P/EWYY3nPPnmDIXQj000e7OMYk5t8Y/2b2ZSuwda1xq4vt1S
smSgltGa3hRkIH9BO5yqXk54DslcNjNKNU3jTU22zlr1eUfsFm2m3Bis21IZidJe0n68rQvabaQ0
1uvi6SVjeU/qmtLL4KRdaNlYP2hFkz5IRm3saEpjUFPGPETpq0S2m9tpcgb+wB4wh60FmZ6JGXpO
peJJkguv0NLhTJas4miZ5XhV4OaDKZbhhUmsctwNUmjQ82vsR7UsAOY4vVOtLqh4k16SndBZTNmL
riSF3BCSBotkB5JtfS5UCZdFpC9d6S0yDnZ1Q9JIis4VnVhW7e1R67cGwmup8xP8Lg99go44yEba
UzrGpbgMsObipsUZO64ix3rSwDXv0Pfx15a6jbYWwvjLrh3TR80pu0vH6ixsWKaCWLrT45tC9Ci1
rp4uKomreVFK0Qh7uZMhukVhNTR7kE9DeG6Tq/qQ5Z16MztDThChKcKLplJO8p38lmsk2SLjqFHa
dCaKNNGnF3OyoxdHRCUNvRZu8iSGQZ2IOKVOgiBZSK3lZ3bS3ROJWrfnDbpgz1z738uOf1cugXv5
fOXyk5foZ5YRXvjHomX+JiPTtf/Lo1EoD94tWnQ8RGoHgbGmJsYK3xct7Te6IQiVUOq+SXhZBb8v
WupvBj5SgeUm9eNtFfwni9aHk/qb2x4e+5t8iUfSkj9szAlPfRfnvXZGzAgICIa12OG9wTSykyLh
5lU9ZVytlmBYuVaBI5bkVA0VrYa4jE41rLBPWSyQppSbcvOYWrmiXExKB+wmHRcmE91YOueE5q4n
kTbkyb7pF/UGP7Jk7JVORgXpOBKp3qEWnmSLKdPmy7JUuU4sJ9dpH65590zovTmdtVoNxr8u8u1o
lvkLzlT8gWUy5GAr7CHdysJH7rxZyvtm6fc6g2S6n2ucoc2Tl+Fx1a2B9nkTywcVwia80YYo27IE
UhPPDnORpu0DhrrJwegX/TQM13pgzhk6T0OH65GxfTgR4arjOc3KeLiIVeMJYN2jlUXPqQlp1tKd
wkMN8VL3xYtJphYek6LRv5GA4xHc5qlNNO3LVTY2fSYNj5MZgVZXZYw3U0bQDlJg2D6k3d8pEjJ7
J5vC5zkxxx1QTHUPGZ6ZQqYWu0xpraPVDDN4gLrZ6gJc0iLjd4uMbrdh14RxtGRUOSNM0birfbO3
PfJGkMz2xcEeHAaQYWudLYax7oljR8XDtAlHa7y1EuTTbaQiByL+1qs4ThLOk/m17bzYeixt7XHd
5YpzrkEB2C7hRD+BA7MbhXgooYjfC0Wmn00rQ0bi1SrFAVAKw7gn3PeYaXPvkXQyk7hozH7L6DVI
SdU5hwuUXUuToV0BaitfUllvT4omKe9whLYeuTnfymVMf4+5+HfVEqX3369aF2QoPXUsT2Qb98v+
2//+z+8UAfGq70sWQkhWHY2SSMHZAYnjzyULlxu6SRs6CGmEqizK6v8uWbr8m5BU4mbDGYejTeQQ
fV+ySFFHdshah3wGkxvAkX+wZGlvx5U/zxIsjMgjkenwKSj4bMBtP9ZZpCyVpRYuyrmBjTPbARgk
Mc1usrM0zFFbd5d2vN6FGEjVps+3U+TckTSGejzGUgpoCKVOjfJ7/tL2NaDZqkVyXgHEk4ngBaNa
zHtt7vx1IJ1XeqiiCPXwJrajcyV1QHYDxPaYiTq+pawkQ3W4oMg4/5brDmP3gTmwHtoP5Drkga1J
ZAVN/cNaFbtJ1RjBGuNFMvU04iD88efyYR2FeF/TzpjLmO5g5belNLBzt/JLUnevDIy/2eToAKPM
kLap83Vhz5OXzfrDtEh37Qp0jwBDn0mu7Y2rcyzNZTlIenZlKssIsJKj3oxyjQKYvxh2r0Y46PxF
wJSjgpwHBmOqJgSqhsSJF3GLL6jSnuXs3lgu4o4IrE5m4jy1O5MqyA+tviXKdVp0tgl5Lgh41oAM
1RpyvrbTeudJSWByB8ncFjuIijEtLpIE4Dc0AZqpwe1FzoAc4iagSiV7QIVgLos8Ak0dW8COIqVg
EXkF8QJidl7z9nIUaQagJhu3FgkHahcS6CdSD2KRf1CIJISiMe8rkY0wkYYY6CIvoaogrfciQwF5
ZhGEIlfBFAkL3Ju6m4rUhZQZdSxyGIh/pQrHbX4WQmXxJ2foTuJotLZzi2OkBCbd+Y1IdpBiLdwq
2fCqitSHJm7wCYokCGbbX0eyn1wCughoE3kRSoPuLREZErpsvjgiVWJoJqxyImmiJXICCwqkaSPN
L2wNKprylkwhLUngKKW+1UVuRTZ2xhbMxUshMi2gBQBaFjkXlki84MpxiBcpGLaY5aoLyRihrHNt
ZAzSpcjNoC9DhAYc9IzbiVyNeimRQgGZx1XDaL63pfYw4QhkWkwmhxPHCTooYsJrQA8BP56O6MTA
viFkqMR64CXXtgKcgbVRpH4wZo3dlliCr3IBfyIOMW5OIickKlrTbWp9JIRexIgwCTZBaQ5ki4iU
kRai1m5ayV4P4rcYklkkkgDWaNPXHAIFM3FFvawUZuqY4LtDH65ye2BYjeB0vsklJYJ3nxOTpDnZ
psqb20VyIk9eseNVCIDhk7EHjt2DFDV3eSUUGOyrQVysczAWtPlTmWwWa0lvlbK6SJHjPS7OShpi
HMWny2ADNah7sq6GS6StTNVJAPSq0mr2zmC+xPn4OMjhZors2Jsd6XVKe8FoSB409LS5nt/P5mRt
sZMjjCtasYg4Z1wKBHLOK9YkXxoEvq+wb6gXLxoFGg7qLLdsqyOF2bNqOndjLkH6aeeLfm3tvd22
O5q619gkvxAfGAZyT43WDG0wpktCDEqybDV1xT1YzhACi/IwRVio7PgqEs4aKwIHOyASOhjy+jSn
eGSmUt0lVXySWRw5NAb/M0rvBW8yTwoOFc5Wigvts3T10km+pnZZPppZjzRZG/GP6gPmYSJTTkzT
QeKFnASJMhrXDpFIIQ9lYGrNRTVJ12bXCUd/lpxEJT2+GYNikMEqEi4roT7uTVzCrElhNUWXheJQ
PfC4XL6FraxyGPqteNO+NuIgJQJiK3d1cpVHbe3bakfjiAJn26Um9CEDB3OtK0uwprHNow0rXQ6t
ZTsPSxqEXaL5CRh+ztYpiIbWeEUKs/qZvu5BF5zLZXPg4HlqDHMRoCBRSS2A06DJNQ0gvUs2sWXI
2zzEVarLVbVTzdkQsWRuEucrkWSJulW1maU+5dPGBU+tOiFCz0uN81uco+aqWaXkJlSwA/FNDXSN
AvgawfBWzK2UwpJMC6CyTdQz+CqgNLBM/Te/799SR1g0/r7UuQZA+fQfDyfl01/rHfHSP+od5TeV
MxqboGgIOkJ2+f2IBkMbQwa+fHBpuqO+p5CCOYJLpMnQid7qpHf1jvkbhzpNxUkiazSF/llc1U88
GzYOfEemcjIM3k18iPd9JUuJlDxvjepctZHtgq3hTDYtSzCzv+OZixRUXNkm15Z9WZR0hZwyfigc
66QYk43t9FvC3I8WjYaUXONVYhFB3uvlqVWd5olVnadJe7vI+r3t1LJvd8KqLhGEsWQ3ZhvCHu2R
62URArcqtS7nSAM01K5pLWOxICnAt41JDpRZPoKvHH18xOM2DuOcLFkbmLfcx7BN0XiniNuVaPEV
0tTXEEcojtFqN5gTkSSAkedFKAoXljKT1YSYYAhF4yh/GZUefs0STCoSot7RkV/JrFMgiJ5NvqdX
F/y7jRNCKh5xvcvzJOLh02cH3ECwhABGhgKePREW+7XUw31ekxgvF3NQlVgLZZTPB8OQptMw4YQH
EBxpCkmiHIPIJsjhLMN4Psew7xlivZ1WfYPT7KZNGhb4rPkCTOq8bpQJNcxEiG7SbLQmHCDel4Nf
SqjUJl1uPPK6FzdrhrO6Jk0mWypyW0Ykzy25MaUKzme8cljlaAWmBpI+ZWdpcDOXLPk2KtpZVK7H
VS1Gb8C2y7rR3ue95IVDJTCR5GPENghRWXXoJw6etHLGqrIQu0eVkk7Spxrhu+Yeg9xlFi6oviZ4
zuoaBc3/sXdmzXGb2Xv/KlO5hwr7UpWkKo1Gr+yFO8UbFCVS2HfgxfLp8wNl2SQty3Hyv8iFp2qm
7JHYYHcD7znnOc+iZ/aql4qvlaoC/snNUdXoniryV+QMe87opKTdXtPQdYDc7yvBPeN3zbmKzHZh
J3w0shg7T5/lL3ngNnG3rirtYBlhsgKbk9xKxAWzKiy8UlrXsXROhqI5TOALfHv4WHa2eaWa6sGB
R+vVIxtLPdOh5iVYzGjFFC1SvW28OJFJdel9rwkakLEhXIk4PwS6/zhWYlylkr0OGs1cGq18p1cA
EBp5JkoaL8eqNeFiBpc0IRfKAGUzGI7oZZ9rsy+XmWj4DBtzizBQWRAFftF2zSmCHimh/bPS6WUc
sCu3sllpVN7R5lW0zbh64uJ5yOEH7+LW+Vwk8lVr1M825uV1ldM2BKuAbqds+p3TSqtaVolBDo9R
UeyGuDnmRXoWOaoKSKO4FvgdhvG+8W0ypY4o1V7TSa2AYkftFdO1ak6HoKobsryifoVZAIJOzeS6
RKml9brHXHQWvNBLaefa+NzQGSHHcG5zR1lAz9/Xs04za41tH2qLAG1mN6kbX2CTNBrdJYcdHFDU
xvh3LnDt4u6r/LPWtBdg7wSekw9RdNGVpVizK8j1VKI/MWvKfzhE8UIl/JuvCyslJ1C0FWTxaKWx
koWuHGyI+eBYUkMb1ycaNanjzslLBQgaj7dFxkIaZ6EHS8+/FbX8nNlqgoVRejeBJxk4qdNglPrS
0HBQkmtSn624/ALh3r/AePkQDTbHhCyfsyLjYbAq5UTBftEwCvbkqX/pGmi2mTlcMaUgwcrFI4qi
VaXLD2NkEb5GUi1RsMts4Hmx9UanTQjucxBXQAs8KOxxLfxiKZf12YnSvUy80dSUwjUq/0jWC0HG
ZrLBIc3ZgV/d2p2/5MoIQBz9RpENFVVIQdMHO9orh3jwKkk9DDwGZ6twroyx2WDDFLl5CiHRStWF
Sgz6Iio07CCtFq2ZFeHp2uiuE1VPYVUmbjvClDTT1APV/hY4X6PSumpa7SrhM6EOKNgq5+miTe0z
8uQVSbJ8iwI6bumj1xFTD7Ak4nVYoQeL4tTBHxN7W17OthMkRUawS43gGMbAPYiCxF6XlNzjCx03
5A5cDYRtK1nJyqGIMNWwSX8aEKl0dh1sh2JwfQlsWduHDOkA89aj3EzRluOYsEOdED19WEkhiT2R
vzanscaw3uwIA0I15QTNVwQjEbsDbQ0KBIxfVWyNocEjSLzujOECq88YD4xq3WErbCTlsS/KdFsq
/Slohyt5LDwEGeOKXcy+qJyNhGwS6dXYrfpOfUmcjlAvy7rMQqL+phRfydc24t9+SmOj9st+6j8r
CNRfo+brz0Bvfvj3joq2iYbK1mXDMqFtvO2otE8YutPPvMZ/KjO49AP0xtBCdVDRUvl//NQPBAlb
WjJJZvb9/4Wn5Axpv8OPuDx2B7R784sygb/vpwzCj+3Yr6fT1N5Xtr+YzVjefDDn76/1NrZgfoU/
rmDP3hq8hmxh9+SwCEQU/K5jw0fFLIdSU04NURK1vCJ5gqn7WYjNr6/z/p38+TozcebNxrGQiJ2v
IwMkjENKqS966/nXF/goFfrTO/lAoAhAMoix4J2og7UQ+q3FICuNriPhwSs8IEK3EZ/LbtNF5xa7
CyV6YYsYBGe1uGxzLORLVIF70wjwFkf0quOded1zAA/Ob7mSf0lSnRcpv/zMubHefhZaJPltX8+f
heaxXwSCuO9ItUe4c+rn5oqeKBq/WdivVfyjbUZ/Q76abbz+9AsoCqE1Ml8/O+APsCQ51korZGs8
AVZDrVewMLhIdFVj3i31qnQdbPy7bWzjwTk0C6Prr5S0N5nICW8SsjQhzKiAckp0LyTazZLCFmAm
zR7UTNv1vtxgWSnFyu2gZfFaSxz0rb6N6ooAnBqVXgluqIpqpbTjUrTjOpxOwow8oksXBWbImC6u
a0wmM/XsTzFupA+Nny5oqnC6P2htij2guRQ5vwCROwwiroXOZozLZWLcYDZZLU1m2qnCImVUSJPp
MLDLvFlYUD00KJ5HSVtUfY7gUb+M40M8ZGuRq8VtZuByqSHzKJybVjeXOi1uPA/ARhToSz2qiLCz
mc+LJP3cwmLPsqleOCjMlkmg/w0D6wMJBeD4/YOvf3hc+shp4nZoppO81jb+drpo77W1va1PSEou
2g0rIA+PRxdlOoypXQYTZfgsbeln1/LaPBAV+DfKovnh+dUx8YGvpadphzUKt2yRbFFoI/Cu4U6t
KvlvjqOf3Zlvj6MPB54dZVMahlxHIq3zZniuApJnXSBfFvC/Pi8++At8P5HePgSM2W+fQof3X2tO
pJ5CzY1p+TGBZ4Za9HTyTCin/u/e2s9OQCZsiBe2Ay3k1Uz8zQkIAX6wrFRTTz3+MPn0RUjnX7+j
+Z74+B29vcCHzw7nOugHgaqeGrGc4X0sWxrkUv9vF/lwyjqDQ49EjOvJEfup2rXmjWo+/voSPytJ
b9/Hh+NxpFbXNUqz06wOG1IgeJOp8+jACX+90H91d3SIEKM1xbf2v8+v/LUox5qQ1vZ/vv/X5vu/
Exa0fGqf3v2L97rBuuxe6vHqpUHu9WOnNP/N/9M//G0PdjOWL//jvz09Z1G+jJq2jr62lJePOzKD
m++v26M7/nr3M6hp/rEfjZFif2LRr8JHkhX6orerNYUtGSwl1DHwm/Dlp2f60Rjpnwi6QYYKBIXZ
yLuIX+0TOzWVcCRNRnw4/9GPj+H8/S7mE/zLGvr+Xp/1F2zpFCQeiIwM+AUfgKZBhptS1zmWXbM7
VY0osQHqxNfqzefy22Xfdkf0e+8eqtcLGbicYJOKhFelWr4/JZQUMZMZ6+VR7gznFvMOAPOM/c60
IWXAqKET5ER4No0/XTOdQCMyFZ2YRCv4XBYx9TMYnb1iZeTFWLUxnMNRu9LGgvxHcwzYGYgkbohS
xU3KPvd+JQQKOeR/QgfDNhMp5bBIG8WLyrJQvaJPO+SKUgBJimCW/CFKRmz3bGxfl03+1Uj1/mjp
JQlXnVwiyS2TFC2cP2jYIHaARLOxiRX1hXaSXw1PRBqf6hYXh6xkHR86Z02RXwxcUvIqWPm4plg4
jOS4qBiznYoq8y7Y8HmO7q+czDOGbOtjk4uHRRah5FeW6Vh9w6v5asKoRcGwpdPENd6YFF+Qqs8W
iW3LWapykKyyBuAwzF0aOYfSyWByTSqHoiRp3/S4yTe6H8rHvK0gfAr4YlEqYQHTz9XfOTY5uNCk
2mJJUIm6xsX8dlSkB5RhFSFsIbNZ2waqteg02EUB/iQejnDsMPX5JRg+lcSsb2u9JafAtPPwqsHo
1usspfacQYYXkKK6IOYJLWSTdPVSl2qsw1E6V5ATiG9VlO8BIH95K8+O9m/O7ddbDK9V3FXZFluz
Rd77W6waia8JBrs+Nl721GOyfj1dWwsJWnS7yTcY9TLYeliSeLUHO3mnrzQPeMT925P9Q+3VedQx
ZYXEY8y9NCSa978HMu2+C5qwOPpqsGOJN7gJfhLIbXUE9VbieJXwQVBUE7TGt+VDYNX+TuE7MpMq
c0cLnj3sFbT302NLYvaqUcE627Zc+fb0aBko7WOfnZw/DfdVWrLIqit8GhtwvwFtL8m6NGdGOHjs
eNa9kruxP7kVkRZkCTkbwn4Xo6quEdsrC6iJM3uM/XCWb+JBXxaaXi8KufT6PrhQfXYVSQ4UgBkn
bVoMHIvNaz842roK0KWizrsN+mKjaNmhG2zSbOxyLSfcaJZTIQiX4+tfHyPvDxFYoLOahxmL8xJi
p/ax9DuT2jtl5tdHGe/sNQcB2HgNzYZlv2cUEWvL6u/sB37OJ39zzQ/fpjQIqFDkcxyrQPsMi8YF
PyqWU2Nt9Kw74PQtYzADIm1VqGzTBqhTz8cLYv4QWEqEekX2gxw1FdJU6Rs75xWNNYp2wpf96asR
VI9Zj+K7gv35L9vlN94KNeqvazIroP8cntqXn8EV/OCPqsyWh/2Pbpo4X/5Wet8sgGCtQOi1HA3D
DJkW/UdVtj5BHlbxBJsnPoPe8w/CizVjHEyAVPN/HoHxp5OM40PFqhMjChiB6kdaMWr6rsrMsT/J
xbkOdA/fheWbD+UnBXmu6+97XIjRJmfmbF9NsuOH3pCddaJ1FhZIjR7vIutOkgk8vWz0jeKfe3Gk
VP76eq+hIr+84vwbvWnbVQ7mCPpwd4pLlMD2GLSgk02hZljZFg2eJ4W9Ey3RWWZi+IvGXJkxJJLK
xyzDa7PWwlo6Nx9BcdUtuc6wRmbMWGkKbaHZ4YUBnEweaOKWAMxCSr45AM45wHMxI9AWHpCLOMDx
hoBkA0MwkOp6xqyzGb3WgbGbGc82UKiugjIq1v44YLww497WjIDD4Kvxeo6grOHRD0huC7FH2VrQ
BogLCRidpRFHpG+zmQJi10cga4xcfPLwFj5xckWhnAWgPHz2bU5uyCIBriexluIq3dYzji/yRwGs
PwDvixnnV7CajwD+9ZJiOW8CQhOrTalkO0Am/AHFPsWthfkN2Ruq83UBWQDrR6I5lbzaVGYotZf0
D/wfXVYPxSlltm5lxTpCEIKqjVHXMuu06ksi2xcmXEtJJ9fVirZDAu/S8bEuSY7jZN7j4Ay3Axox
udBz0Yq+6ob8nMJv8XpDPwyljj2kthRJedGSF9t145bUjLM8VW7uVzCsxwuMui/AkItlO2WyGxj9
vhHyfUX6oa4XM6NnuiWIJViQwJ4coy4/50lL8hv0wSnZyUViLQZsqhZJC4uoGlgxNgLrYX1MvSa2
bmGX1rjBysFKzcpu23V9y55FhRIWVeNFSlzCqrHVfZo9O1J/0kP7qulqnENgwC7CEGFvme38NDp3
uXTdixwXF74W0hM8O3IWVtY+WyHMSsWML1W8K50u61iIKEusZEA2xsu2K+Beg8WZvb7ua7GSoUO2
po2fibwsiuKaHeQ58ykO/QCNoU0TcTWM4RVBVlv6hKVd2g86Fp14ttQ3GC0wQ0f1t1wT3E0O3AT8
nyZQG6JMXSURLzIBv3lnLitdiV1OsK2asd3EldYjjIIw+ODMSvagGzHZbdl6kA0vxdqhG/x90xSb
2sCIC8NZo5GO5F8u1V7ass++HO2gXfiR3Cw0elKcye90kstVnhD4TkQZ50Y6bhLicrZ1ys4kQs6o
jdIuaaYbaO54wKftMaqL61jAsooFtzWG5ewN1Ceni59iy6ZOpviuxeRL9k09wjPCvdfwhb15PWb+
qyfR9UtxxPy/eT95/v88iMpAi39d9P5XWkb5y5/H1/mnflS8edgEejQZv6xXIucbygPsT8ZA/gPT
4D3lwf7EY62BwxNXgOTPYkb+AdDbxIbDyJx9qxzn1Tzzw9z5qzmUifNdRaISAXZYQOfkPvF7KiZX
elsfgtrq41iz05OkVJ+DCBXLBIFMGY1tqmT5IoaDjcuZZyGgkQWJJlpw4Yx0oza2UH6fVduMFf6c
u+TWc5RQYMgrdv3X/RwyZBM34opgvJBbf2lKBCdHSnsXzbFEKflE4RxUJKR6kybNE6tEuDqK/sx5
37ilhGwlMIb9QN4RlO3KtdHPLGVN88xR4DQ3xyPJnZQuQVoG+Gtd61pzjBK28abbztFKORlLKsxr
HGTSfTcYlIagfYAZPTBsjs+FbO4Uh6imag5tCgTxTRm2k0Y4dYucZKfJUe7FHPUUz6FPYchjns5B
UPEcCTUFhENlc0yU5W+1oF2Nc3xUNVvOqSRKTWFwaK18X5I0FfKe8KuCSZGp6lUfJUsRMFIm5FP5
inrj8wyvBFTiBRsUzqk5zqrEjnpBiOgm00aiIuzynkldgo4xBiS/GtDxg+tWjctHuervxknHtd5u
TqVG6Uqx1F3EVf04BGIb5ck6KwG+9c4oFno/4kegMamEvk0qp3qnVQDdXdSf8N0yvSTppqVqQFiY
HFz7gtpBqFh0V5oUPhupX6xxFnGVLkn2OB+1w1PpjCu9NJ8w8i3WODiuoW8G2GL2WXHnKGF+DXmw
TF6iYHruB4ZqDcWB1ZVYDSV1aNtPtRIffe7vrdzm8mZoVVg3te+c9MxvdiPO/LqDMU9vmZu2JrhI
DmXMKDDeP2rxxP42KrJ+nRrWPXSvpRVl4UEbipdqEupGLoLZV82EnPwdT/n3nJtb3V+cc9nTc1H/
5Jx7S+16PcwAAmxdVVHLMK/93tnPWS6oNThq4LHPi68fjT3Zduwg0e/RviMYnEG6P445FZ7YrDLE
JxhyvPVP4Da2YR+POYtoZtmCRaHMYh79wzhZlAaJYaPfnORUuwHJuVYbYw/d5jIZcHHrhR7uAhla
raJv4nGMl1mS+CtfmL3bDp0PsRCBjTXSOBSjdCXrE2loJcmweFCZlHblspUrXE8dXiu3ihASdqls
nQCqdBmm17UFGXXKC3uhFMNBqvChyHIISqg3JFcaDH9pYUpLKr3KDrPtq6OcZzfk5xkHS0z5Ray+
2mWpFeoPHjE1tdZ64wQLWxS9a4Yh26I6vwlzGwYSDguQOZpthZEcO6vAaxKFCD09e5mq8K7GonuR
qsam0KRraUqwsalgCk2oSCYj+GI6cEcq3HPduoBCXW9jCD2B9izCp1pzWyegocYRvZ9TMRFH0qWP
SbrM0yGB6NRAxRjjp37imB/a+rkj6lNpCYhzZN4QNqjbprbP6DGR9uWeRDhxq+wG3X40YnNbyHgB
OKOBK6plXNRBfY6yYVjogs6+GJQTmBcrNLmDn4EREh5ImLEFQbO1ZoI6GNkVTaJ+6Ujh10HNL5vc
7vZ+qqUQ4kJlpc5Wp40llBUunp1X+gXC+ASLMz/BprimE4d0vh07gAwD4SdU3KshaThypk7xKi2z
3FeunulAZgMmqbygasV10Mqa6yvOPYHO8YK4jnUlx7smsW50Z3pSpCBf01gvWo69WITEdKqw48j1
nC2Sy00vC9U122qnKbyXqa7WDstGN/GVXD6XOhtd26+4MGuqMilOk15/jTA03KqsXbjBn5yCuLSa
2WwXJspDXYlDHcKtkWw9Xka99jL03YuwxnHVtAPDUWP7G8Kyv8ABwraKX8VN5mC1qO+uCX5o9pkt
70Qcfy4nh7UI0TdGEWJALV1U41guGlZeLEqB8iC8IXNtmmMbTzw+4iYM/C9VaNkbWOID80B2TeAf
sii1u680awsHDe81o9hFcPEog2a2shuiswPjtg7lkMkzNxnKpmtes7+oiKOF7V0UXgu24+YR3DRR
58lKceYvb9BGVzZ9c6n4+j2suxqiGBa6TZPnu0Zl/TUg9l2EY1QhCE1bdxqa4iGQEQ7kTBznGFIq
xC5yYYmJxVk0uwPqixdBi62PgB/UqHAlS63MPT+NO6+JEtQgY6tuSaYLCdczCUNXu608ESVW2eHW
UjCiNfldFpWpjQuOReh6WXNm80nsRAUK3FabWIKSX0B7iCEuuyWsep40nYx0WR3wkwwtIGXwPV1B
/sU/SLpxjgMH9YC4VYZ4b9TdrtBAJvX6Wlig4FOTrRGoscJE2rvIE+Uohu42Kgz2jWN4zvTuMgkI
rEmGA17ZbJ516q0gtzsr4jtTEAo1yJuxaW6QUciLqsOTB7o1KQDpcJE0lWfJdbHKRrsB4RsOfq1d
JszuHn7enqWWO7VDpzY23Tfd8B+jQDkR4XuURHmuYoseTTRffDzPF10yPaQh3QVBbLaXx9ljk1nq
wh+Ja2pV4nlCfT9IZeEJvPmJyp4TkFA4GoQWmbm2Zv2oemEx7BwjKr4jMP+W8Bkw++sS7j6lTyRW
/0yQNv/gj2llFqQxi1BxdU3mfyjwv1dx+ZODj/1vOJsxDwp/lHEDGZsjmwwxxFa/nVZwC0BiShm3
NarHzAD6B9OK9sEEZZ5WiMoGizbZmanA0h92DXkAApQKG+thOQ02ZeCvw4Bmudb6fWeJ0YWV1lwM
nVqsNXniRhq6M856E9lN2ZeapQjxNsQyjaHhORqwVNCb2iLWw8rtQh2Zj9SryxC9Dqjy7BveD9m5
QtQWGnBzsRXAs0Oe9ravXdSGvrELx1gaUriuxvLet4PCxVr6MNUjfW6RIKRP210wJ4gSV7GboAbA
yrEOpqrfBgZ61zayLx3wwGVeR7QP9ZMKgo2ZZ3AnMpiifRSiUyBIw03EdDBzi4DQpHEVTXtw0uLe
xIPQSRR4SOmNZGSH1u5Lt+7D27wGGZeUbJP7+HgSDU2s6koJpM8qVqYBizE6FQwK6xLYqXgAGDtq
IYGYoTGsxcApwk3xBM+RbdaADkqyWg8L9XChDGlKDNuACa5fjfAa8w4BlgBSiLNT3Q8qnsTgbSEM
Z0rPsZ83dgEM67WRtKvYrKioeHobsJRdSZ3Omm9+VdvyJunIwLUVIkSD/Dzo5moMs22kEiDsW83Z
7KzbkAwWr9THB1Jg6Pp7o0QPCDk9zaNipUUj+ZSqtW7r6bIecmsFvrQblPQlnMgis1v11gxruOWp
6rtmQZ6qsFRCGKzNYAfX1VEPtyZtjIzhpznGscumbRVZgmGpiryonWKv1Vqxrjv7ITTRwHRwtBaE
LK0ZjfNFkhVfE8sslnHLgKJWCh7O1nKUA1x2xk0EOWne3nypa+0F7+OXvpCDTVDpx8CE1ylwIh3Z
p3jxmOp3GjI/Mn9tWjVymoq82mWGuU0N5WCQ/FDbATUwjWpvHJAkqIE5ru3XUSo3utbrhXQZlf2z
MyV97WJAHLsyDcVU4SBv0WLoElGuFU2HY86FTJ09Kkg9JffB3qhzn1LUw1MCszZCZCCaDO0TeCG3
LveRc19ogrjwueMB/CJ2xSFxN7GgQHGYW64y90gtXH+8KtIrRwRLU/XBhmmoCOy78EWjoJam1yJc
gefCSjskPCXFfO7JTJ70lTT3aXI0dfuR1o0N21dt7uVamjp77u4GU4Ny1fBewpbsW8yevQYWM93g
dCoKnhRkPThlhOXZp3UMM1lelnM3adJWpkDXLW1mU1xGuk6eAR2obWf+djCL4zCjxIIu1VGLZ71B
qlrRvxJiV+LG2iRkXkvosec2tzfm5r7CpDmcpDVdSDw9qnNfXF/EMZ64vRcV7AIrn9tAZP7TODfU
6lgd/LnFzum1wWs3uRJKwOfhnRQkL0nHI6NCSPPK2fLZAUeZW3cHAs5SpOlNlfvfnLm/DwbuO21u
+Ys88HQ0qCyx6SdEUOUXkjoYB4VhQYqy6jiIEYR/niSINfXxiWa66Hy/cIOaiSPsxUHUiU0nzDSS
OtF1WHM3GzqqljqNQ5yP+cYHP8Mwa5wuSckmGnheWzYZIYQlY48GUWEpc6VFSNjdQpqnIzj2/kqg
8FoWVatvQr6veZZKRl4LnPuSfJN9yrhFshT5HlRzRRU7f67v2jQNcDWLuo5PJOHWD4ljNKQUIdCM
3aaL9x2Bz5Pb4mek0qj6+bKKo+az7QThb3S1f3sCmQ3XL3qCAkjm6SdjPT/1e0OgfIIqAxkY21oL
Nwwm9N8bApUYOwPBFBs5HRXDm4bA+QRwwx8xc8Mkpvi/netnsBEfOYg2302C/kFDwFLuT3M9/J45
13Wm7NggDO/hSzbvQSKZvn5KptIat5OJWuELK5/WP6kA9Fl2kGJJ3dg+8WNSF16POixN3GhLykZH
jIVvIjZKq8TDVl9fNkYmb+SeTAB70BDOiOJJGSdiQIzoaaqw6820sIE6aLLXQKdS+THCVueOPqT1
ygy7UGE3UDVGsr0jh9hQkEt/4ZiJgMyWEQxSt+kyNNt9l5fOQrGie6GYl2TB4IqV1W6BHbCY1lEF
CCvkjNVLXFxOdPOIp7ccgDCE0sJ01ZaYDqdCdR/V05MTo6onG2DTYeRDG6+eVblND50+FSs7MfIl
PnUFVKzqm+YHT10MUJpJlteOLxRtYzmSpCUkFPNplh9In74v84CBj26CZVWeuXRWCKmI5FxoBY3W
ZDs1NiXDnpye2FPr6aWz/RWe+3Mm0FohILopi3VDVErN4kmNFUE+CPqKWmgvLaa2OG0gS5DnIJwL
/E02k9HDdMHUYhFaLXSIiOgIkrnTtNyQm+ANRXyTEtXTtvklG8Z9KHWun0UkphjZpeAr7Uiq8OQh
qvN1iyPRyjbLnYJOFot4hn/Lv5Bnl2gRoaFJUUfvaFbrSyR0pf8Y12mgeo1WBPmlNLVjuc4UMmzJ
ekHCMhGJtzBF8pV8p9UQsgGL1O6r04Qr1roBTt38cdT1L5RErBibwVlkYti0Y3jUc9/26BzHFbl2
33rJZEtmj5/JcLxpp+GSqKZHrS7Zr02fI8G2xjQaYrkD/TlSBwJEgvExDSsI1G1pubpGQyiQ6hsy
k6RRX/rYxlu1jc+sVd2MEW+rTDtgocA++QMR7yCeTGbGsgvbBDWH6Xgt+XObyfqmxIXuzei7aFNU
OSWUVCxvj0kAqcQgG6H2J4JLFTKOMuzopSL8GiQVaSDdOK3sHqwqHoO1KjWf4V9tCh4bN7fzgX0y
cIbVTAzsc165mWyHXveBLaTz6EsPdSvvyPRV8D6Ib8nqhZwO+w7AhnHZsYHtwf6thNjjttjlnP6L
MGNxOhtqh2byrQnbU5npT6LxL8yUUT0Z4yMAxr6cF9G0c/u8T+HhaJpwY+bcOsQ7APOsfl0Nmb9o
IdOTlZU+5Yn9ebIKL0uNrdxgvYeL1vUkmbPRgD3MeNitJYXXA+ib7PQPeFMirwmd7TRUez+wy71f
NA/mgCWBbV1LprkNNfskERgTYjlQ6tMxy+pNUnBvTuaIEbuCJlGowZXA7CKRi03QRcjyQsdLBifH
qGswHxvRbEM17q58W8zZTukKbfLeJOfxOwHg39I2a0n+urQtX9L/HIu6/dlyjh/8vbppnwxKh0yo
LyFwqIzfVDf9E5wG5lniSb6v2X6Mu7r6Cd0BlQ8uqI49y2z09BtqrSufNMQo7NNMUzNg2an/ZNwF
GH9D3TBIjVWYtyGizrZ6uv6RjkIwQdykU66e82LYyEl0YQVEPou/y8JRX4vkO1YKcusZZ2e2J4vF
+DhVS5x5hh0m/dkweIJRRNi6Z0zdbEsVMS+gSJZ6YqWVtjhhr3lRJeWtpRKKUgIuun1GY5/USkLE
m+EstcKRXY1cOQwDsKby+/qhb8rSzeyQQ14rfWLP0uuSC7pqmZ4LOeKRsPJoYVcq4Q6SCFwNGwHU
i/a+ynAwiklAy5VmmvPEN5qW5CvfFCtVN9plx5Ju2SQDRxDu+bZ1cPQOwoSiPYR6WrjMs9f001dS
NhwlyTi2kYzSsYddYtrOtnbEsfczqImOcstjnpLqKsQSuVy46ER7aZBb2+vdvWPXL2pgPQbZ+Lme
p8qE1Aa4otHZqP29aWXRimXtxnT8et2QC+NqdX1LuMUmsvXARQ2wx2f3C95XyUpkMh5RgqVeWgwl
HhUBDgb09ShJpkclQ3k86fFJt+uV/arnLLVlNefAWcpt3eCIQy4VmQPjlVV1a8NRNwyS0qJlYuMX
1SKQzFx38cq6lkbos1mLhtByHp2WgQ6yaIePyqLpdBQ5wOw2LRrfX7xmlPtmj4zWsmkcJNFxRKJt
X1Y0GgqUSLXv3GGks+lDJVolSnqu0jBeocJeT5l+CAJcYlpFXzuCzzbsYS5KJknoJZF8OQ4MAHtX
WIOMqDebu8gEWA4auDOoYK6bvtsSWyiIQpe/4nJMylA/3qVRZKwHbUIFBTLchLFAAl8/E7b+rPYp
DcSgbIrU2bI6Uugm+nWWGJdZYi8HqzAvLG3KXTPNv6KafwgtcmIys7ihjsdLvbKSTd9pa8simgwP
PzvXndrjFgOt1nEmU4awespjImFXE7L80TVMlLiKPCRkKY5qHTQbva/ypWz1K8VG/K5U9bBLUwOo
FKGOPBNLdO25l50tOjGCVpiqkZaX4i4xNFbIQa/IZBFFc3keSIBPYnWrMRYqIjm2M2ZgV090o1dK
Ir3YyO/R2jeXBXfjzaiKG8IiWqDxfln0ibKVMiNjNyousCkolhKRZUYEmUU0ItriaNh/NmOr8Yag
PASR7LtNOdABM7bpzUUZs4Fum03ft3NEGBOfE7sils9xXRwSk0dWy5MzNXGfStIWNQse+EEYEh03
ZkQyRc9mP2ZIqNG8D51yFbbmeijal4Q+FYqmtMjN8qGvPfZX21Cv90krbcgjwRJFfpwMyO5wzxuI
K4+pfi16zC+JTSthI6USfVJeu4hrZdKRdEhCSJl6Td8IFf6TQkRwRBQQGW5xu5KVhM9T6GStKQu4
uj3pxXXNhrtcd0p+Ihz5c12gUolG/a5tZftQSrFe3RSxcANbr/0N9DeCLt8UmJ9Q+z6sGHloVMqF
TiMHNsrE9NE8omkaWDyjOZ57aMELfe3vhuvigCHAQnrK73Fl2bIvWvh7eqluia5s++vrzxvM94c4
l3dwXiW0S0VxOW9A3xD9ar8zhGR201lYT6W/deR24QyPEjGP//w6UCNfWZe4wL4qDt5cx2mpWdEg
prMSXYTI69L0hfjhOR7p19d5X/2+f5x8ntRAUlTwmp2JK2+uUwFYGZ0SyqTj7GsTegMQhn7/62u8
Gph9/NDevpkPF+lCWW5UiA9nsWruWIp5YiM/27DDFsVhdttbXNUezI2Vurk92st0cRSI0+4az/cu
412/2NTL+qJd8heXxYr/ene//v3UD8zr13tKV2XH0shZBH3/8Pul3TQxlMjKGZ330b+UPfmg3GNK
BQ7mdrgj7z4r68E9Vqt+g9go2zOmXSLtW0FWcV9/lX8byfkG/utG0kv/syxq6A8/gUn4wR+NJCwv
22IpAURC5USR/aaRVD6hG0LxA23rNyHSj70JCckzDxr3Gn1uI2dw5Q/6A989IgaDhTaQ+z/bm8DC
eHc4zHsTXoeTSdbZJ6MG+nAfVYGPZbIioD/oxd3/Zu+8lttG2q57RZhCDqcEcxApyrLCCUqSbaRG
amRc/b/geT0O488u/8dzMuUqjwyRBBvdz9577X7WPzuEUIWtL9SHWl6UaVZJeVg+WmbZ+J4lKnpy
FQdBc6JoWOnyPQVDcFAm1mgV+ZUBqUODsUuvI/jm9WQ26Tqb9Vo2RdJvzLbAQ+x1fjXrugkCbzsr
vcbgRhwInXsPEZinSr62J4R9B4GYBSHcSiTjJh4egp7DWZeUd7KIRtqQY2+rqeFbjuA8wPJTsvam
UMnTMTnQsDsk2nq0NDJKCNaijzcw7Sa/QMpmtv4UNDoxv7I+RIjdaheKdYhN12979E97sF5tmSpb
ylSZDg/WuPaK4aNd2B+xiifLetbUa8R1bzAeCdnm+7KFfWMgwOtddBvNijy/JtzU7JxackEdiOMr
WIaL9wMH5hVLzybV8E5ZGKVEoq7DQtxmAXPgyQJcKrTVMJuqClFuTGxWjuyvPX1aW3V2YGUdYW4I
n9MyiRV71SrD2Yl6YxFj3YqxcHWzlwtL3+cq5oJiOpxeCZYvKn53ht08Z7MXrDJwhbXYw6bZJ+aq
43tX0G92GWqSJmUzTBm4aFN6x0gpP00zxy9At8DhC72wGPBZmZMYNlmMelXFibcrqzG6NVL9Xotn
jN3I4El3I2jXqfE0qc6izMDMtu9aW4Q3TG3K/aRm0ltFSrotrWLVJ+pVY2rPJgOYTo58s0jV+P0s
61DgRxMIJMdkaYSQ9kqC/UuraHh8KsUlTIJgYdfMIGxyXQo+lT7BY9JyMBL23mxz3uIxWwbJ8FBa
8QfHyI4B0C9IKBUoNgnv3lHaFzOrGd6bxpOii2elNDAShs5m9Eyqc6Jkq6uIQg4xr6GdKAk2clwu
7noEyzqQBMhFerQD56S10D/ccbzLpvyTKgp31UHYWYCq7HzwTdaiU5I3UIWPlm6hZw1XETXHsVPe
oRU+NzwuOSRQUNUqh2ogUmME90OeHMY+49MK9PdhxtQnksG7YHAOTcI7VOohoamSfWvqAp7UzafA
6e9tFcKHCEWC7YEttROrr7XpXXtJs08p13owO4Sc7txr5tUYeS1ZEN/KWtvZYETooNqHeHOgQh1K
xXoNx+b9fFwJc+umM61zFE9bQ2bgjjBTpPX4aLWuu0lCvPsp2Guf8zSmyUppMe0U9O4O5P+7WD7K
OtsbHp2ABhxddXrf5qDiOhAifmX0OzhMsc8Nqy5gpl8hxr2WRuZtnZQex8l2NzoQpZWAy7sKmqJe
6aAO14XHlNBEVkzKLNnlTukPNe4NHZTbvOKySmnFKjW7S0GafwGHVIVPNd6GKr4VjbGZylvAmnRr
jPYpab03y55Lyh37XrfNk2FWiW+0o7aAoBwti3mJk9GERVO90718LZwIYa+s6Qiv4FdqlthmqGGk
KlE3s8b2be63dgrvNNV8dTIml6HuntIuCjZhqChrzu9XzTEk1LlU80fdedVjqjy1XGDwtEuiYjNE
JyYqwUq6TuP2k2ym4C6poHOBR3+Xxx1YLQbFb2Wk3NhF19GhyBoRxw991J2lF20zy/00sQVeNQi+
i6hU/TSrSs2Pa4vwAOfm7CELFSc8TZSXLRoArCtTsw6WK995sx1DzsaMaSqeAUF5CK2dARpnegw6
jBkOfg67USp/auWFkvibCMeHgfNjwAGizVYQI5d7MekrEAJi1TbWLc6PU+sp9cKejSQJjhIXZ4mq
SGMhZ7OJBV6BnXz7zsCHEgfqXuBLSWaDSorpmd9mevRm70o1vs+s/pZu8Qv3A28CLpcMt8tkITE1
YSyYkOcbNP+WA0xzl+OR0ex6r+KZMdXhPtc9yqCti42npvTMfOHyh2G22zgCjv04W3A8G0JnPNty
chXrDmvsso/LbY5zR84WHgcvT5jA4Cpne481G31w+2D5KZPdNJuAlBTI9Gdb0GwQymerkJxNQ95s
HypmI1GqkjWEDKSB6mFMMNuN/tuVqapBgJOc0v+9K9uIj3n+kx0ZP/RlR6ZrfwEIQYZCGcKW8m3+
mxAaJHi2W9zoRL3m+d3XHRnbJEbPX7ZkX0d7hsdoT+ff4j8cSGb/yx8IV9rnup6vJw92ZCTA2Nrx
b0JuNT/bab493uRj7ehD63pnPSOYkVjaVG7kZzHCUPJIpwIyq4Nnljh5a3yWLmAM5v6EnAEh+Chz
j8xVlr6mrEtjxbdBp0hyNE1uxNIQwyzcTLt8MKpV23m3qdt/EggnPuIB2RB9ozg6k5h4GVrVRg2p
wsmNm6FUtkosXi1J4tpJimOY9LepPo/LoBGH0t6SmtuqCUQsg3r3GPQcXx/a7TTvRp/UZayrLWMi
S5BAHbej1gE5VbTXJINKirNvJ13nsTSd3ST7NwLbJ6QkQcEzssyTh0GgCaiiY48AhcBdpmyWIMI3
0PzUooKlqKyZIAB277Rt1RTkzkXn942KJmAoEu3NyUnUuLxaYIPLupgesro7uRPOEnAVANhSU670
GKiaqW8Sow3XMqV3XpMhAbdee3FTRhU1w6jKBOilFe1TNgTPbZLcRXlxHkY2QkoWWOusJruQq/mu
j7EaenE9LDSGMUu1N7tFkbnFpow6gyrZLPNtz2PaMt5mVrqrcd4sGPh/GLPOXajMnhayCNiLMcAw
wvEFMRJfpaZ9anRlr3Xtrm/GY8Jqsgi8BlMBmv3W69v+WGCbp+xdoWLebo5TKj5mSt4/8nkeGut5
yuyTSXwCB8FFVMket+Rdjx8RZxBBfTpvvQq0vZ630yqnrz1clEIUETp/k3r4B0KqpEXtmgohg2gT
uy4TLHRO70SJQLQnAN9tMLEWO94XoJSmiueVLIF3F6RBS1vjqA3smIrJ3nbWCDsPk5RYinYIN9pY
RGzzKVw5OqBYHtzCdrf4j9XH/5bDz8vhzGD6v5fDXT7+5Hw6/8yX1VCz/rJNDqic/VwAFnOv2xcZ
H1AGCgjnT1el7J1Z9NfV0PnLtFk8cZqTRfJYpr6eTy20fwzo/zP7//Fq+KM9n6kZgDB+BxxWBrOO
eQ7yzbDHoPlWgwTeUKRnR+uiEPFyKDLTnW4Zfk60wcR/d8OYUafSFJN28MctrdE1nrP6mNONO8YA
RumkqMYz5xsaDxZu21ugmbXBrqhjs0RkIFBD/tXI1ogY9U4Jkk6HieoV+fMk7da8kMz1ZL501LLD
oGpZfU39N7XQ9YszYTGb2D/hS1P9YZCdB8qoi+QmqUvvFFVqtAsHSWaz7837qkA0p56cXX6Rgm9O
k2ypVX13wAY9rnU3pp9XpO0VwbR/VXPLKjlGRuErLQzDWtRgQXFnFyu0AWiIimWuOVJEW552zKTc
3hhvNUfHT98W/SnNnf5GYwe1lEH5qehdiOODrssXN2YhEI2pt34UWGzHraR5p/egDngHrTd3Et6m
i0R/BIgMHXqKNwLw+NWdVOy+RoiHulVBE7gaa5zVNApnSpVSMU7b6xRhiuyPVuIUqDlmQkDHdDF1
gJ0ClT2ORjnT0vMi/dmYwGFG05TgltNb/RXUs3VoqzrcjSxIjwbiN44gHYmLFtjl5GbtuW3TN97S
fFd5tnan1bEq/AQ97mRClVpYpCtuRrwBy3C04hsrruuN5wm5SibPvZnoS99mIOF9b8RQEbG0vpn2
II5sO+v3bVa0WK2SnIFGrJ/oVQbtbkd1uiZuxGkBismtho67jiurvhixUS6bVi0OumrDI63TfTBm
E3N6xV1X1jh86s1IbN0yC/cDEAR+t8RRTnFgqwhnNfoTUE6YkU1r46J3800ZttrG5Dy/GCwJbnLS
vWAvpGK/Z8P8wDxDP+qQHM78+sFaSVFXiGmDwZVSPY9ThNaAEL8LYwrb4eQmJ5OG02sk3R7PXl+t
xrgdVmE3BeuaoUu4/G9l/byyzmP8/3tlPb3IuCx+ZpKaf+6f1ZW9IUlOB++zSc5p3rt+WV0xVMPL
oHcIMRh7AHO5L1tNGIxQSsg4fQ1MfRn+ATVwYdXAIkD2ddCS/2SrScLqX8M/aEbkSS2kbJNf4wdl
IJGU2TiTHp0zdTKDU6SzUxg0NXJ3lszzkLqsHoNyW9nPdmT2cuspOQ6UflCQUSanfu9FZnHnebE1
0Vrf9thuc6d5qA3MTe0MJF3ZUYJlNlbeD7qBoBROpi90oAD6YGO35JjGsbHt7HehGF+onX7hYG9C
lr/atUtlhK1udAEFWR+JBkG3WQ1dwA5K7iM7AYVb43YKZVfTejS+pJVkptjjx2mJrSxqOhwW4+RS
8Wq7a5F3w0LJHcoEWm9nhkhCXR9sy8y+mp11zdAfl6nhfBgDut2Bqy5JlbyAALkrDf0ZuLOxKGjM
WGOY5nSvT9OGKHrmAzuKfRqYr4ntHPF3AQlM1ynFSMdMFoc2Stt5bIObtnZ4shBdWtDlBK5gSq9d
Vd5X5lSeDImnmEQ6aaPZNSMzpjrsGNnyCVw7jTFQcpCH4phToTE55aNhVx0l8qjFrSo/TrUcV6k3
Z+Prdku57UYF6qilFII4TrKmlsE3TRYUkr5YscDbR0S/+aU03KOdS6gi508mOZFF7hXv8yj94Hjp
rWtG6BziTUujd3bREMxoErqYrGAXl7OfeD5UWE6E34poa8giFmLq8wthXrFCvzMlBk/2ix/sIj9M
UKHKERANVAPyYDlb47KbQ1HhcIBj4zdqD2q5yDciVoaFbrbYOrVudlO/T+xaLG27j9faEK/skqO8
ha1U6VmQI9VdI9t2Ny3merJmNQxGae6a1Ca6M8d+ZdreTl1nLyyqAPOJzqlKUY1lMrb3REZfg65H
l49ki8lVXXP0eQD59ehQPaNL7QUHH171+ddQu6sysqYH01mkMcEffe0FF27W4sbs2qPw0ss02s8x
AbB1nk7aWg5MxUwvbXZqOR6YqXAKsJJjQb7AnSnpkeI+KA5T3saCDKwlQ+ArEvW8T2+sMjsbnjxA
2rl0tcuUffZ3hY65BsL7zL5+GVn6fdYIag0KZ1929nkkz4Ws2h4UL1iHXUVrZ1C/cxPn1VaGE/uW
j4CK3tWNs9Mc+5h06MNq5JCCFh6VGQWfAx79DySD+YpNISP9QbTLMrfPvHjmZ330WEmLh7aanfVA
u1RsNyovfVUUfFyYORZOlIpFZmQXmAvuMTeiA3iG/CGymTqKEbqyoubioIi29C3qZBYBgoYPz/ul
hwSK0VDcanXwCLpi9A2OswvU3a3nTkeRN6dWw8nf0rFjZy+Noe0ni4v2+m1CE48IvF1UNudaqBsT
IdgoBYm1AG8j537qYtx8Pab50tTnHZYGXsmK9l7bGIdYk2QAh5Qc8dBpTHumHKyDbmAh8apmqyXu
Q5uBcw6LjFkgY+16XQm12TAcxkuXF8WyHEz9MozmXlFj7Sbii+XzmVvn3KHmx+rALNqNMzxMVR5e
ObWJQwJtc9PwFqx6oYit5ijjoiwZ/c0EL4Klnd1E20ahvIT+Ey49lqq2VhJyXP89pj8/ps1fHoD+
V0BB19q/h0LzT355UDMUQgnTeB4TLfgb7/fPg1r/C2kMq9VX4sLXJzUxmM8ULARYdLxvZDr6Jxjl
6K4z9/kxFvqjJzXoh389qeeJEBVRPKuZDs21iN8eg7xAwTjEaP2cD6RbtNFGX9YFVs0hf4il4a70
BIZKreMyEqkjUJGaXWVpnzqaBBg/ZP2+p2CQ/i0ML43abkPyBRbvB8kdMn5F3ibrubYlcZLXPuBw
r8ESAIGDqQlOYL5yGCaTLhi9S1Rl95Z0GVxz2sBJOh0pbb8Pw6YgqvEQJMY7egvyMxFIBZmIE0Ab
O+FKxdeyz0T0EJhULaWed0t9wYBPRP+oKbJdhzr08ByMOIHvQ1LikVUHosD1cKXZ4TzM5HGhVDcd
KPLQrDbWzCbvgJRnjryLZmq5HItTPXPMw8bAWunxdAJxPs6sc+rDupUz888NQOhhXN3BClhHMyHd
A65WSxnvOuDpmkZqpR/6GwIUGFAnGog/w9YHirRm/PqQttFSyBS72XQNPiPaFWDtzoxtF/EEJQKS
u1fGe29Guycw3idY78kMfY8r8O8w3Df9DISvZjS8MkPiyX3EoK+NdQs/nqCTwP+k+WJGyzeNcU1K
51rUH3TI8wxHVu2Moo9nKH2k1S9Ri6ernoH1JuT6ZEbYGzPM3rD1BeWy4IAFoHsb4j1r9RXprrhU
mXaqZii+OuPx4xmUjzytbyZdf2fOEP208zDaWffljNenPGKbzsB9G/K+OhN1XCpOApj8ddHAdAQf
xPorYPYXA2KoZsUPngnOPwcJRa8DhGkP1v8UO6exGh/1IlvTqfAMbKLcZUZ3Bb8GxYe+AK48cK4U
pJKpEmCjA8VYGy/JXDMA8O7kzcUDnSFftbmKoJGavotn8lSkZM6qgu1hrcYcOUGd1tZMqpJJV96A
PuQZOXOsiPqCtHI+462MEgqzZbsfgPz0+84yFtj/1xIT1NzdOlpGvzQC+eTh+mJuQE43LbkE5+ay
TbeyH2u/tXiLXdKFShZN90ZZsLPTx95HhLtzK/vQaOPH2aa91FLrKvA1H+ypW01Zd6NH/VLjiLki
Y0A+t44+JFPp7ZrC+QA+F3OVO9VLi+HBstDq26YqeIvlKWDjtET9LfeFQwtI7EBPTM1VWLCTxprY
cjYl6FYM7CIpNxqBbAafRBlchBzbpZk16rmL2sJnhKEvg4k5iJ6rq0m1K7zH5Bi1bukE+b5PdLp3
A/0pIdW0sO2mOUamop6MXlofVTVI3xUqKTHyleSINBHRr/Tf0+nvQyR+j18cIj/mH4q3n5Zuz83W
/zyc9L/cOT/r6qb548PJhKCBq8Rjlj4HXxmP/e/hRBkkszvcJZ5hY/xC1Pg6o2OwR14Whxam+j8q
guS78d2DiWccJCJivKQCCck7OGi/fzA5ogndTA+Vs6YQumjY08PA+Bj0sCdSS9CnaIDe15K1HENq
YxkMy6snM+VWd+ZwCSC43LmGoZe5uHNH5uO1JonMxs74Zins6m2U3oWuMzROmO7zgHOnTVhz/6Fo
mxuelJKi1d7dDJhDVl2peGvWh8e8TNW3sBLQsvShXBeRI5Z9i2GgC+eNbcH/aziVSRpdl880ApEG
CIW7nKLO2ve5s08SVMmedCFaC4CIVtm0evtKYwn7tQpOg/DmtKferVxlPI1hQciDIlW2r92Nm+Pl
zOAvrGiTMjbUDkVQLUpEznSgHs/liz566crlGLnQA1muJhYdHSL6BTwsu/mxEU8czcY7TXuIqT+j
RhoGWxVGS1SD22RqkFZ17TSqHKzxmp4RJt9qymlsAH4Ls4Gh5nZWv3LcYdo0Th/vc2pSOAbFwy4d
a3VVW5WRLrDi9Gz3VXL2JdFSPhblTLKVBzqIgaQpYHrE5p6YqAUjoBhuJw4Vm7w209uhU89FGUVb
L+X4HbANRomZpnjNASUnUWhghgBpQBZE0kDFKMvJPVqyTHdZu85s5Ywiqv68vAzuyKOWG9gSKAbc
2Pkul13HVruI94GtuCfatRkwNl6A+ZQfzk9a1Qa3Whs9icgiB5LbLyGMp0VfC32lmd5TqkE1CZry
E4fgzCcLdWQBzhZuMp6FmhZ+NGafoslaVnCZzmNmjn6Gu5CyKTf1vRzEMbnFnewqZ08hj4b1dbyL
kpGPKcs2ZsR/POn62oDhYWGOPTpy3MI0shaN3lJuILteN0+dVSr7EQe1Rq2VgW2+xpAq4TOpNcM9
w9drBpRlIpqjrDx1SZWUcSbMaa9lZVHSYHLEUIqC3G2vo/xP7YYB+LPoHDZtAz4BZaj3ZM+NhehC
bW3Rc3qTYoVQMu8DERwEwOy2aNt7CIenunT0lraC8mZU4nGn25JjeTFtFQvzD51E4p2Kc4a89sdG
GQ6xcA70TB7HqPBWTkJ0fRhXdjGtec1nd8yPVpY9Exs9YPE8ZpE70+ut4JS7Zb3MCPKs2yi8i8Yh
3FURULqk26YVH5Ib8RSeffVK4tAFm7ovIfYqhuXxmUfW3I7KUVFpuozm5crXbLHDRbqicvElk+6i
L/BGFO4n24lZWrI1M6d1mVa+2tWYKnX1WgJMjhDdHYbyXk/iQEMXjBqLGsxB3LtCPTNSuLc71eUm
9Qr7HAA4IGQ6fSor7UqQYee07pIs4MpukDYxjh0sJfWTrnuJbGNjy47OK1JvieVe6jS/uoX+wUv5
DmdiTq2NV1MZ7CWuCrY4+IJS0y/5jLOkjX1TazCCdIBI1HKBwvo2jeO7fr4ftTTZAaO9TMVwzlza
sJN5p1lQdFUQ4ObywlJvs3y4Ydvk6xONcsGMb+F4TMSYUcbWsVU/K5OtXdPvY6lzTil+s93WF0q5
VdDb0shZjWVxzksVxoZabNBDwG224UUnZhh34XZgV5EVyrGjvwvQ5ksFt2dMB7/iK6Kbuh8AvSbh
4geN+CjFxyJor0PjcEeCCFFtwvb5o1U5y3piSG9yjUb6ZqCfCdLc1fRKMlRbWuFwNQfvnUgmnZ2g
qBdFr24y2qSp8+YODNiJOera9bJPYxUD843WyNV+HblL2yU2F9bRztDG7TDJR1VrGAC4d7ZdPrpR
fQ3x8bQZldTlx0pVI18M2sIx4nVsl2siZHNvxSpSoTgYWNJkdCo648oohALVZuYTE/VgDqWqW8Xr
tm6tUNsk7hKrODYWeQp+UydAw7GtchUozPfVds1X8ab23LVm1Htqj7kgrJ+SN2zI2X1V9KowXn3r
2+KRf8pcD4GxJBpRIpbD7sab56NEvcD39nNXOYim2E0kLQuqwxadTCFc8pCIyoCauggwUGs7GJ66
h6zNnxvi1GPp7BzHWZUUe/tFI7e5SxZjyBgcWt4GhQdbvfpQyORKGc0moPUpDlreO28V5s3WaSzu
TmcDQeeW8rNDSRCiU9o7ege37hCcg9kOYGb7LtBOnHPcRd7G60yMlzJQSdf3eCfd2wQfoKENT6Ut
lqNUW1/33PtA2re1rM95bV3RctUFitBdS4qhK+n8k+wkwVQe6bdCn6BPoxfhSc4L1VQ8jmlz0KW1
KUv8lk3P9Lj3634+kecHmvvuZTnuNb04KLoZnZVADfChxSRD6Df3J73ZS1Wlpa/3O8ylipJ8iEL7
PmkyZwcInVpDp3maadq6mXIwwioZax/sjARCUz2CmNupunZmvY1Xqkw3Wl8frAkXo0bg0J9U7Smy
6nLtGem7jFQugNN0kxraJUndhJNrSQdjb6w5+G+D1PZ7XclW8USkqJa+E/Y4B0Z9Nilg04BbEdqb
JBj2cIU+lErJgTZ5aVAeEbHwYgc1RL7OWbVtuJKRAv+CHULatH4meEiQCNx2ivuh66AAxOoGEXQd
q8MqL0hiZHUy4Bya1gN9s2ND01xDRQxRj4VssCHUTA/jFL9pr+xxBXKv0yPGqUNqBefo5jQxwAf0
8da6chUmNcc1MZw6s+WEofL4+2ZL+5P4w/eji793iEgP+JlRkQHF/CAyNL2Uso1z5axm2xjjZZFe
FYBXv77ILAN/Nc18uYitaSqIaLK6cwbiG5k4VjJSSqamnAf3Vfabvn0aqGszKBmMfnOln214DcoO
vlzpB0G6CIpRmwKupLs3kckwz9GA/O8K+33SPseEo379wn767vFtAsHJqNL98YVx9idHLYrw0inP
TXuo8DqLt19f4meviN0ym2UuY4Dg/v69C2xnUD1cjpfO9JN+01JrKrDwZuEmRrLVm9/UAvzkFUE1
5dBCyB/Nyf7hxNDldq2PahNfYsqwY6PCq70p09+8JgwIP94P311k/vtv7oc6UBrLDrhIgtbTQOOg
O/3X79rvXsb8999coWsmBvT0o1xkebLnKHzxjmHMby6CPvjLl/HDR1Omc0wsq+PLQLdTZFFLiNuy
ZoF7wi9r12edYvQ/f1nI1mAZaWazSCx8/7JSqkbiPNHii1PdVmpIjHznBJ/+/Bp4AmCHEipF/Pzh
rQssQ7FJrycXpiCrzF46eeH34v7XF/nZW0fFCyh1PAYOSPXvX0jRR44Tx0PC5/OU28eIkyK0vYWH
ibY9mB3e7+D211ec76kf1iCWuK9X/OHDijw2s6U2Jhd1UDBmPQC6+M1ioM2/9NdLzMFfUsmYE7Eb
fg7//rD41IUZpcCus0tylLtmx8PzVPjWyrqNrpafr+ga9pX1r1/V95f8vLJ+96p+uCS2mmxoyi65
dDZ5RpQx3WNRKLa/vsrP3ztkaJUnJxm1Hz4te9Jsp8nU5BJUHkbwg+s2v3nv5nf/61v39+swSZww
pwcPRh3J9/dDWeuxNtZKcmGatoCnxG7zOTbJlibJb17Lz96xb6/0wwLHiRgvnmMnF836GLm3VnBX
Tb9Z3n5+CcxV5Pr4Jjk/3Gox5HHXJFpxyfOz1TJIx7Cst/ZvHnU/+wpxs/1zlR8++lR2UTOGXCVO
34SyDQxlJU2GrK2fNheFPIn1m8/oXy9Lx4CGXkKI0KMM4nMo75s1FduLg2GThl7QWpV87u1VNV3/
8Eb74RKM2b5dtukR4w2NKnHpJ+LlSrgcacP7/7kEfeUOUUiPOdv3l0iGIVMEJ61LLd6UaYeE/ZsL
/OtW5jXgDSFzT0+EA1j3+wuwdDrUyNClwD4vay1U/V2MZJB7Hz+/kP+SfTpfyV9MZQuGsv+WC+cf
+jKRJdVH1R3bMuwdYBEt/uofuVD7CwO3ziPH/Hvw+nUiq/FDgCGcv8XC2fLzlQ6BrwdDugH02J1Z
yH/i65lZjN8sdbODnBwfnk4Ng5xK5lD//v6oisps3CiJLhXkTHdbpT0yk+WcNWi2mBBCJVCmVVoy
dpKLtpxUb1nHDi0J6EsNhAE105q73tZC7xOmwa1UciN4KdMsUWkhyoVyYNpcU5DEcExbhTiwwwuF
CYC2F5UZzSWoLf51XGzWJOAZ1B697jh8HVzV3Yi2wIEPS+mIZEdlxgIrcxVtHVLCSI2JpSyMwZHW
toIyTvwiq+EOVr2QZ2Ik8GxaY+ydVeiqBXBY116qU9MqH63Yazb/3fp/CxLcdb+69fPmo/w4/uTu
5+e+3P1Y15AjePLMaE8+bB7m39z9HkRPBycHQXOad/65+w37L0/zIKMQqzC+ufeN2TDseuybZkMb
D5s/EiSc+av3/c3vsd/j3ncNg+cIX6rvb/6sxBs70gF2kxlTty6JpC4L1Xly3HBVOO2D3tj36XRL
lnGjV9pKr9zbtgnvAzGlPnNbwy8ZGlT5eMIwEypvRp/eZ6TUlpohk80o81fEsWYx9iE928lWDXEY
l22BxCHhl3RUf5DsfFbyrnzVGtglBijBVWLGwXoiRtjHZCWCUO6BfpBbM6KHjKkTYuvTxGRKlK70
e4rHxyS99SLjRdraI+i+GQc9nBoUXH/EZL8sqxmBx7jfyoruYVTdZ5hQ8YF+92Cl9RbfijK5T1vx
rI7OtDMzxou1UqAQkJer9GeoIDceYV3gC3ee3KSTuqq8go7vpL9vo/jJjRUg1MVDLZVwD9p36dGH
nuUdXmJ1zY7rZhjjm9mpRb8bKYQ4+lDgxQExUoE77m+82ZRUxPrOJOVVQWsYGWvqd2F1kkxvm/Sp
os9uwa+4qeuJUTASpDCZuTWWJGaf6MyVzGBRWHW97Wwv9wNq+qhXO9pZ0W+LBpU6iNtVXyRMf+2j
DS5rbVKuMycbtlUhPkimHstGrzFbUT0gQZSSWWgvo+uRUGF2qQZdvoly5rcxEofIuZ5g7GiF4Mcc
+apOI51/KgcGd1oWzGsGO/BwjDtHJktnUXo3ILKWdmLN3Q3JsQ+pEjAJj1nkZRuTabBQrW6Rz3an
kAkvLTS0r4jUZHVz6tqP4yYDP4aGP8Ye0kE2XbzGeUE12IVK3KzbmuGrikcIzeu2d+zadzROepXx
NupJ5ZNKvOZalgDCkBtiqvcWzYdVhsuZPaJ7rBRtJ9ziVCbDc5cN76O6fi0rfMBaPwbLybYLaNVt
4o9Sy8CMNDv4jIA9q/ShjXkwTFSG+3GU3Qa1aWAGGLY8CYq1DMmI4nPrFyQ8DGI/Pi7CT3weh6Is
z6aMMD2qhH0EY2nm22WHojQK4y6Z8mehxWji/amYdEjyTb4P6uaoZuDKM0p8hFru3M59TbB9e1G4
sU1dgOCp3/V1fFe2CvhqG+pMsW+l+bGw7V2qhmdMZc95Le4p5+NNnfqjaciD0RantkvniozhVmTd
Zgjio0kvTz7129Irdtq8cx1NHizw/E1m8nI0DqXoD32tXlSoQOt2kssgbB57B4ZYbU7rWEIZawVO
isnZS0+/WnF5gPmCLYA06CgymqQ7/Wyq8hSWDtP2DiVuxEYX6nd1UT+EOZSwITlBEF5G4XjNVYER
ki99KqI1u8KHMHU2VlhsMzt2d6MF7K/DeBA7zcnIPZhtjnFrIg6gCd9mSofXUq38qJW7zlMf1aEX
vqvC3vX09kq46tjKDt6/w0yZreEjD9mtQ6lmOTZLfZiAQqCgGcJ+BtS36RVSoV6/FnH3lMt2W1vq
p6mmRCiO9dWEJy9WOYMunEnJAejHIG9wmAt97RYWa99gGHvaqaaVtMXBC9sjhsfd0LTksTXvEEXR
2ewEfLSxXzB9PfWByYjUy1878poLRQqqrLxNVXg3ANwTTH3DOqtUqkAt7X1MqfVAz6iRKjdakNxN
80eIL+q11Aa+jeHK0P8fe2ey3TaSbe1XuevOkQt9M7gTkmBPURLVT7AkW0IPBPoAnv7/4LzOkl1Z
mb/vOEe1smwaJAhGnDhn728PB5jFj1Ltz4amXanEG0c2CLd6HF51hUyaWIRMXyriW1q+i1qz1kUX
xpvKzV+EYZxGL29pjs5YNhBHWONXja09MFLZV6RBRVEyZzHd9CiCl7p554SdH8fTW5I5FyRV4bGw
KrFTw+BWQEVUChVsS5X55mS9aMLe4L1YmAba0qS1TX+opb5NpclvOXxPIaFSBZXqgTzJI+pv8jo1
AK9qDHioQsHEQyHQRTPnsUN12+TdUzPEl6pAYNWFd0HdbAuF0Bk5uA8FJAM+8104Zo9tFfU7aV6n
Kb1utV/qiY2ZN5cbyyzPQxvexSq6Etfut0rGRHgiaruxb6ZM29ahx63RzkpVF4uIiQrhDZd0dq2r
JJatXJxhi17DaWvYpyZjv/ezBne83w1V/GDlMSBBWocHvWD4mbtZv44qe5FXTHdjt+fXOR0rxvgL
exaLkRWwreW4ccLCu0ahC8NglpVNCnJZfZaaAdiSi77L38Aw+KDekzU7DENe1PAroWc42cm3Kdst
hAQMQLOUrey9fp9gaETaO34UJFtY/IohARaAtmYxnB1L17ey7LEvQx2EMpI5J0IaqkUNKhpSurBC
5uGRmSGqukprnxLNQewM0VtZE3ZG+N5QTIwuJob3Q2a66OFyU/PFMGWrSVOO6AP25HBe6266NiVo
XX16yKvgNqxqjCw62gbs+nrmklWjVU/BYCXzgMCvNaBMfSo3nYkI1mjbtz7piBJzn83AOPUDw2ok
rnlHAH0A19NoCCEj4Mh1oldW1gfVqLeoK86qJd9R2x3yidvkRcwyYqPEvmI8ick6EHtzQqllLKGQ
IUVjSEKoWt+xRVN1M2Crg3OiWqssLW8hC8Y4mqedCO2jJeOtVqOiSxFpecPCKtV0hTE9xM9uACXP
L0CVVn05jis413cF6i+goelBjYedqipg1rQlpdBGl9UOeP9GSTE/OdUhFO2jbQL8LbQ9/lMM+u46
dcWXIJn8JA1vZEClMDJwm4LIr1G+W1X7nkfeUSnw5PDQSdkdOi/7YhtquGjwAIGHu631xLf1eOmZ
ybgwcnsbSfXSpArTDxJ3lyNTwRHxIbZSAlsQ9QdYRzuvWbeJts07/YkeyjJLNLm2FIQLKHMpLYhf
LUCcjFn6lBndMtQsktNr3ffgMtOpznaKSB48L9ig17omqoNA1la7GwfA1Yl4LDVbZZ4MlEABiBXU
JakVydD5ECevBku9CkLjRaqt7XNeB6vsbBIv3nmx6q3hpeFdnd7FCI5OwKBifW+Pts7DEpaDBVjU
wcQ/Cs2HJOWeSw0upomZPOMUFLXqTWZCOIHasVRCY900KC0CK8JVgGVsG432szUgZ/BYaRhOyaOU
LjPloXyU1nQjFPtZ17EWibh6UpkTQnzr1mnTZ0yS+NRuoG29eempmHz3JWiBECz00hLpSSA+SENl
Oit6fcCoh3CSqfSqqvMP9NUNJSJcNBwBH4hEV2hKL2EsxSab8t3gMJIe245g1nnXtswnqfFDS1Q3
XNWSAXE1mldaGl+hjV+akPh3TjQ1R8HQEYOI8YhgJ9wP4Bu8JntGSGJu55+7bcwt3oLdnOaV8exG
uAaEeaMNMj56RoFnTexCod7pIRVNaQEcGLpNCNxczdNjFapwA5CEhlb+0bmQxE1D90PDvUuhkMZt
ckh7mzpzkH6jt0+jVt16sirgqzhXiRZe5VguMsccD4VMHqrMezalcctgpzxYBrq/LrTLtd6az1Pu
7bxGUzCvxcWm6PmHFRDxpRbj24Bks0U7iuoIEVOyDM1cNS5SS3SOEXWtmFATRlMnD8awFV/X4gAg
xKcT3/XvLdHP0eAc7D4doGY1szdroHF8EkA+Nxd/PEDpsapKXS9ickHpKRWnZpIIZS9/fZGfWlj/
exEbKpqGm46j5I8XSQNZG9Dp4rM67pTipBKfrJh37XD315f5qa38+2UcmjQmTRFHdX/qkwYqSmBm
xRTu+sdQ3ivG38w2/+Tfp8+jAWSam5bWz/eq8UaIPnaenYuBBw2U3usvv3+HTh93iBs1S/Z+vE2h
UxCaY1X5GbxLbl1b3vGv//2fRn//dn9++q5NO0WCzFJKthqK1mWKg8VZmbhf3rNk9cuXIsfLnjuX
Fi1+76evInPB8hMBlZ7VZMuguQX1MudeLNmGFfE3DdL5bX/q9c8f64evZX7EP/WRVS3Oe8fOMthw
SwS1FueudsWaOvbrX/9Qn7//nz5U4UCD7tzfL2TEqwKHbbRmH5m3YvE3z9qf/C7RVzJ2dtkdDV2f
u/WfPpRhgZli4y3OjbEOyHSRvhV8+euP82eP86dL/Py4TY1FrWSpxblwX5Pg2VT+D48zWS9YIT0m
Mda33s2nj5BUmdWaUAbO8KIIbcck9H9YvNC04pWg+6Mjdf+p9VkoBfW9rZGL5bwOzhU49YXa/s3a
9Sc/Gn6UGMUZLaIpmHtcn78IDxR1MboT6SYUfuPSrfB43cC0KMVqMv7mSf6Ta8ECweesOVhJ6D/9
eC0gCjTZEqs4R/OZmjQJVIy+Uy1Kaqzbb1/+P93+mZ34n1ueV+/961ee43dm9e24+/o//6393ijl
VZ8anvx/PFdwm4ko0PmWPjU8IRPMtD4U1oAUWAG+u4PId9Vt2ER8fSqp5RrP4ncfL3w/1aJH76Hp
/lUNtvGNgfCv5Y5+P7hpB6U3iyp9V97Fjw9J0MUC9lI8nuPi2hjB5esBZ2/Zevdy0oeFOhIQ6OnF
EWf/rTuab0CAlaWjTKQURhnpp3GDl6/1iKjzzobK2iUV+82L0lPWeQ/TVN0bQ/GBSmldKfYMXHCe
M0EkidvY8L6GaaPq+RFRFHIs4FCogal11QpVHpsBLcH0wQ7taW2wT5KqUNEMJD651K2nNHMewnF6
UwKXNl/qbYequ0/j9rr2zKuYqnPDlPCSp/K+LCWQy77dlwPEh1FpDprLoUkWPXT0ks8MCQ+3SOUS
N+1Ga+qbAM1msS4i5bETHBBaJNC6d8UmBJAwYqF2nMAPClLVJ5Ibk7haVy4CcAODjWZqX0svPhOP
aC9wC40A4XNEk5DKNNGQ5CRxlSZGvCQblVlKoSS+p1jP+ZTqvj0Eji/hEuydMvZW1aAR3AYeHgQx
wRHD3OkkGcobTaTb3gQcobvYCDU5oVgPJPVV6TKMa5MyvQsJYyebFUGXtOmT3mvDQKGHMLyKVpyN
1DlIEv0JvVhAVEhDw8xcgWrgMNzHR077Pmi2jZrJ7TT0EAJRsRK3HpI/bfZLZ4L4GyB1NB2mNWig
30VinTK18Qi9mV4mE1YzGh2OG0F33xbFS4wINLCQg0M4tMyGQMTuIGsn4VBYbEtdVfwoFfA0HHCI
akkZQWstitTH0bT3uaDXmVvja6VZ1T2YvdswN2813LWDGHZMijYySYJtbJENpMTBFkkIsTSVcRi7
VFt4CtrHURmZJuXug9IjCrYrZT14OlaCnsQasg7dYNhNnpUu1FKQaBsWuLcVIiMqsYnjyFmoznRd
6MHa6BDSgXdYIEd7mOgLZJb+URrcsyDh3OPSiA/SezSZz2FeX8sojZeydbdpQVheXRByXEZb2nnO
MqOfVch2n3ck2+nJ9NSjOuaM/9qOsU+e08FL4pUWi2c7Jno+MGjUpSpH76zO7jqzvsew1uMoIrdI
ddIDtgBfTDAqW+e5woW6qDv7VAvndorMDQzARw3V90YdUat33Yvlhrd6Vq4daMYo4c5SqBAD7Uk/
Ji7Es8ouQP9gNjLCdVp8TVMCmDlf+M0QbMp4UIkBMbVVaY3XsW2tXLJ3FsCDyKJ0mqepg2kS2Ppr
DnmJsKi0XaqNudcIw1igE76zJwwYsiRXwaidO/AAB1Sdz5MbnYjquzF0ZaOpabHwKu9rQFhK7kF/
tJ1qR1eHBzCYhcDSDxL93UoIWYl77Y7H+AmDWcSyUMJgR03qGWRVjTA7lOG6DGhA5Y02G510ZxUF
hbXI7IhmPB4wnIcyux5T7zbF9D0fjKtd0Eeqn48aRn3be5NB+5pm1XWgwaMnACpYNQPE63ysPL9O
rINwG/N6MtyNAoKIeKm+Si6i0L4EI066MJ3up7I8GlP4ptGz6Ii72JL/rvhtql9FbZgsGhE1aKdp
KGH3fi+FM/kdhmis52LW11feQrQedwAxKmtRVi8Dsz5OGuRGXdvHnbaLova2pu+FGtnY2ZN5BST7
UOZ8yhj/oGgjmHiTYq5QYKySKO/oB5u/1+T/bPnzDv2ft/xz/VqE73+y5fOq71u+BuJIM3S2fWo9
kiDYU79v+XCR2AQsnd3dpQa0KcS/b/nGb0wxiTPGRwxX17D4o+9bvgElDvsuigHNmJkfv0aJm1F0
n444nDSpcPn3PU6wOgo396citLI13P+OGpxqIrWJzMpSj8G7FxwUWamHwml6shnUsXsxk2gfB+Oz
G4K+FU7yxegtjd6PNTggEBiV+JWhJvAKKuHLJE5gINhR+QBYwx6XmM6acJ5mCRwcMc7SgZzaVxJz
4ncAOAEw0cJiQ2r6kkTCEgOQTNZRFycVyW8NNtCsNvt1VSe4LkYH6qSXjmS8dMCF01hAdUssORu4
6g/FDYEJpUTHW3FAH15nEXE1usfjnDVoJN4axwudvxFUZVSjKKdxLabywOSClOLhRjOmY9R7s0bp
SAbcTgujnaQ5AqsfjDDtWmtJcmq30hszOgrT3qhCuU74zd+KwD20MF6X+KuLZUhj5liQPbbEkZz6
o50kixpI/IpkhbNsm7OSSowpTJAWI81g1ojBj0K0GCxNrSKWsTHWH6nRXuJMvZAukls0jNriWqnA
XxomKORKrENhR09lzE7cujhlgxztNVgHo4w+nCYkbFDQtdQJhSa3nmrByC9EJwxr4bI7OBV2irrO
N0XFxxU47CTusUUwOfZK14ro3IeQTWIBqcSwaHVKpby1B1rEsDMadSRhwYPOKXQ4oLFyIsZt3dta
vBg7Yd43wJlYwvAysa6tydGMmUnnwPsnKKzCEc9W0JELoCl0LBcFmJVlMzIV//RT/P9pP/GDmyWA
kBYpuGkY/FjMJmo0qKnXJFe6Gom1kQ36azRynwaQDv+r5f5n/TM5hvzn9e9SEm30J1y4+VXf178Z
iICSAtklWmDrm5Dj+/oHJRPsOCIP9Lt8WZ81Hu5v818FUP6dGfev9c/9jSOQo86SDN1BA2L+isRJ
c+dux09nnvk54VyloxlBb/LjY2K6eVKbnT6eiTKvr51kzG9jTThPYGj0/Tik6fOotc7abXv1hOU8
WEAhizCp99OD4w3tJVLLbANDPz7YXhn4jtLWkA+ryKeoucqyyIOirQVHy/LqG0O2vL53VXPVTTCI
KTTlVnG9vdQnklPaCHSIMNIvUGuLTVIMAdOmCYSPaORLTgr7vqxmlcAMsNYLlRUQkAMz+PHB0xno
ZsbrGOTOviOLaN2CXDoUKSY8gtaxF2F/XEp8bCkDblAKKU5FGwRTBM2M7geGUs9o64WKL1TH6Jgw
PtDmiMwiX1XTFH5AEniOZBgwV+mXcSr2JE57jCSKdKdPHnnpaHKuQy18UtORosSogbcVN1ZZqX6s
tsqmtcMJvntn7KnnHZ9AzgPUu2YXt6a3UiMq1DQrTL/nTLe1NQry2ArTfZUDkA7K/maqwbsJIrcX
nWJN5P5YTHvcEhmxd5WQbApcmbujdEp0G7OzrPJY084NJt/V6AxiV0XNvtOTl0o44CZZRhfgOBJf
C8U+CqupXVK0RUSqaTXx9qlK/I+2TUyiNJU6XEoLM2mbYp+aOvFKXys5ydZ8V9JSXSFsJ/fawgSH
ng3RSXgh9OYmd0JjkUq50fvsQU+G1mOyjZ0I0Ma5r7TrUmf8FjYcAAxiwBR1w8prsSCDKhVcx7ZT
nH69GZ6axsL6VeSHxtDeLWtmy9nDpYe9gYG5T+fTADFGuXp2Qm9b5OWmN6xjIr2TwCEXIZ/zpyzU
lgSak5WWrKcwPudTjBkaD6SHngdp3XiyRrESqXJPFcI8UpoHO+j4ky54yfX6zRi0auVF7heOnhvq
/XvAPTQnA4FsRUCtbgt9zK+qFAYEmTd29wWiIvl9BiKcdVDKozfg0AX7EadHzSbdc9GNWbkXHkoo
R6vlMWTutvu2Bv2zGBs07f5iMX4t/mvxXsTtnyzI8yv/WJBVFmQbfw5eBqrSedX9Y0HWYHiaWDYQ
0dEC+gzqRHRHi0lX57yUH2V39m+o8WiyWjYtZQuV96+sx4Yz95h+WI+JB9PI9bTmalQHBfDjetx0
o2X1qatcOVaekGK162Oo40VmMx+bRUSpM26VWVbEUeaG6FBvpsITZo32aJhFSLQz4P8iS6JyIaV4
lirps2ipmuVLsBzfBvRMJbomoVansTN2FDzuUczSJxMNVCCM+xBNVD6Lo8I2u5WzXMpCN0V1s2QY
0CwDQ73xZmnV4DJYr5P6UZXOh4QCuU4Gccn15N7Rcmq6lEW9UzjP5V71ZHaiW7GzrPJUGdZJKBCW
AIKEgwd7Q6k3Q6owJwwMJENdvsfbPsQrKyC3aGLgr6wCab6IrFfGm2To3X6NU3XAvl02bXnXVYkq
aDhpJrNpAbWlHLy10PBp982YExHROQxQDb+3CqRXOBe6ZCS6hxUrLwHbdWrytXWc9wBsNTI8l+iE
9irr7/WmdMhqGLzl4HUMosfy4kgtXWi5/pIg4QCLzjyb4TggOeI57aBp9pVavKHLS2qyDKJS9Uks
0EBZ5aZ+U6WkvBWRY62owO7UiNaSQ8YzFC11RTvpqSA3BC5JSTkuy6NKcsNScTy/cOglhmJXZOVV
ozWbnIUl85y9tIInqLP0O1JjxDUHd6gw1Z3W0aqI+NwoIgiyDmymr2o2GUvez6MbtvG+nzlCgtuH
zRS2ELLA/Ex3/C6bpSe5gIOD+PRgftOltLNEJf2mVqm/KVe0gfx1fbxRGzg9qt3MfB6ELrVQL7OX
OJglMBNWfDLd1wqqnQqNDNDOHbLQTdp3pBcjoulR07RufpYe2lGpYylHb2PmfPMDYsPE6tBaJo9w
SO9AkW4GhDr5rNjxkO5IJDwCKU+NpKdG2hO32labtT7JrPqxZ/3PhBBI9gOKoFkbJBEJ2bNaiK+c
vOQueU8QEvU1700ZQ8s3ZpWRjdxITs7GQH6k1wATZz1S22WnCYFSPiuVxlmzZCjmhUjSt0Jp/Ly5
qztNIyXWuwkROwlET4WY9khNH1QvGfDLIsxEHhWPCdUFgqm4SV/yWUGlODb6TTRVBuKqaFZZabPe
qkJ45QVELaj5gMRwovfbnwH0PepItcpGAWcjVzoSLkOoSFNnUVcYzdkTj1U9HCNEX9ms/lJ1clFn
PViM9CtAIJbkxVU3K8bwVb31s4bMGIKjN6vKDORlWcZfQ242zLqzoc53LkK0frYPz8o0OWvUnFmt
BuAc4Rqj9XFpf5OzRd+kbYodPieI3QqLg1I9y9+UZou277lBFjd4PTBX3oLhvhAxcMo7wNclQjoa
tkvATEinxNM4K+30HBnuYNpHFxGeq1XYbGddXl0bTzFCvQFTcDYr90rXvDGQ8lEY3+iztm+c+pM1
q/0ksr+gqN0d3rFthCAwdtPHRE+PECPuHRz8qOLV2xYJIaGIpwhJYap2jzBgL/WsNcwRHZr53Lav
TzFiRDmrEsNR6xYJQsVMrw4VwkUekn05KxkjJI1NoK77WePYdf1TTrQijcZs3SODLJFDKp52UAz0
kdWg7EwEkyrCybYmhRwh5YCvnyz5I8EKMO2mm3ZWXDp5BTG3PkjBI+tCDMsRZ1IJv6TgSchG37WI
NxuTmg0xp2ZEDz3iTguRJ5bXDBoTKeEW6g5koClyUG3WhU4IRAO9Po4IRotZOdogIY3K9BAjKZVI
S72MUo0KBiB7pS4T5KdmH68L5Khoog8x8tR/apNvU66ZCvTXtcmxi5v/Or/FxDP/e8dsfvn3AgVP
DLUJUy2PY/vvTPBPBQrxVyrEIQ+IN56Uf3XMUP97vMblD1wVbx59ru8dM/M3bAG87Jsb7NvU7Rdy
FX7ul1mcU0kB9wjcUuHazXilz0PbWqcbgiE5PKMbogoHdvJ3xnAUGT/UQLNyxoVTbtC7YI2m/8fN
+XyNnPwaT2SjvELYuyuizlsjpEnqtZPLkzSkPeB0HZvNNOco2Ypgo9da17roqPfhg7aefXJqx2t2
RRhUp65W3Iqev2FXJ9tWcP6bFFkh4n6N0oRetl9yXBDbFDKNjzCI44ispk2N2NEf8K9v6sis/KYc
CBS0WUaK3r5OnGL2WueAZ0iz3MRKCDonJBFR2RQ54oxLUU/RB7Gt/dr4XVrkNkx3vN8lR17Gf/ma
MCmSom+6JGKcWLFFJaubVvIuYigok6JZC0VGT4bQDhEJ2ezjKPJSNMJGX20oxY4DR92F0ypXXdQ/
WKlxR6DlpUYwGhb9g23lhLLYFbkvsXmsamBnZnVEmEtPL0zRcXeEU0j7MGjZAqsSIUJhyTBIQvVA
iDqV457l/FkkCaLlzEHvT0pEHdvJ1iuiYyfVNwKkx0MkYPSYAUwEN9Peo6yEa+F5/khBAnKIIVFo
GjndM2ltcD9Nh2oUhz5QNjJPoXXG4YbI6HoVG8SWTsKvhviUD5bhBwZC/zASdBbqXVDHt5FVZbQE
SFuH7LKrp5mYS9JS0UjiA6P8QlLxITKILFLgqnwZ+7ShMUBgpqrbayl4VAEn+qYJiF1xC2gGwU6K
6jSYWEs02CKID92l5bo9bJ/EuljmSAaZNFF0F8wRisDTQcKSaKOO7amye4X+JvLxFCVumanvpt19
pUPpbiiS8oPhYVtcRKkV34jCBUsvzdhCmMoi62jK3ksTbdO46pdUiXaTrVy1mnPfRsomiwKb1Kva
D1J32RnakVHdTV8wF0n0VVIH/ix1y+2BkNVM37hDq0Ng4sZbhbNt1P5Rm+dKwgpXjue9THZ/KlXk
vTERqlamXk/8o73GHjxniZnaphPKq95o74oid6U5HY1A2XrOA5kcpTvt0bG6awv4Vu1Y9xUD7qiX
bz0Drq51W4rD9Gjp43UYJNrS0FMbvqD3zHzr2eCotKoH7UgiECHu5hlPGoSoaBlNncEYploD7b1z
ZXNvpr0vQ1TnVoTtradsx+87EsmGz6FMdyBtaDf32oNQojvXze8VMfOdh7UTig/dkfvKU/ZSwghr
EntfJd4ms7Nu4ToN+cgaFWRntrfmkOz5fAeLaFSjgww7GhnlbUkJrcN4vMpNmW6lkuvPUP2dp8Yt
45os3jEADxykt5IkgoWUZMiRaApeKW6jVaXM+nBgbUssvcwJdcJQBn4Wx14Ay+/MiXNRVvcBhENh
z78wjTp2UXktjLMqcN8I4QoBENsPSqPbft/YVwHAGj/IRI/txWt4mMGK9WOXHcDgw+XWrdtWxXNv
VEO1CqGMcc5JDiiHL7lIMQYMpVj0omFM6ZlPto1ZxCZjpVOmlSObYu9iVTgFRKb4chIxEVDlm4lT
m+nvGPGT42xjWnfk06TcxzHdhGN4JE5mAmIU3KDWfOukt0wChu4J2odAUS8MNp8NQ7w0XUrXPtn2
Sfvh1MM5s6ZkHQYASZjTPutJt8ZO8FLCOSQbjxQ9rWI+PMxAzqZwFwlleRNYq5GkZjwBflLpX3O7
lRuBsDYp+mei91Det3hp4u6lac21qPma04HUNedRK5oHqyseLY3sVU8mF5mNx8Ibtm3FaUsZkscw
GnfxwE9UylMf5JswBy1Ejt1t205nq7GfZWRdlYm5dM3+cZg7NgPKVAejW296LBYkYvNt+AXZ0CQe
AIpI7A0AYmshM0T2rRvvwkZGfmRAXEgs+0L/nzuYcToMC+cO7cC+NXBowpsB8B4dqqBkioSqBA9E
uy2T8NECJbSg2NxaueGz3BBVLXGr8OnzyDlik9rWabjXWuvZEz3EyXIp3JRkMOboRHc3zDrgLaev
iqusIGBvO/w7C7Bur2qb7rnXq3giKcbTvb3ZjTeNUHmbZrNPVGVbW/ZLQIHYj5y32/4S4LqiHTGt
G+nRzIuja9WUH4HKrAOs84tqQm3Xp/hEYuWmCqq7vGinVVqUWxiA1Rbs1OzCAAmu6zhn4hc7KA9q
DaRe18t2XeSqtihNc7imsxItQMIbfurWT4UahWtFdc+qB4NwKKrq0GhOuGwjma+h936JM8QitBeV
p0HYPC/TrDpUaT8bpKR9hVLorHQjjwgUG/XTEDW/iNaYlY9AFHSbKgQT7b/BVaCOkhZeBMpVkmDB
eEi9N9P61QHNT5eYK61PIr6Rp9hOOy6hVsznnHMnzlA2PpWZnCNgIhafNchz9/5f3aRvGmQ+hj1r
mjBzWnMf7PM1dL0b88GLw7MKrM51zlOLZP0OxOBfX+bHIcLvl0EXDNGMZjkSqp+aVmGZjIaT9uG5
48xYJRGFIb/D6r4zrwdse3aDc8X6Xcb5T5vT/Os2Z/TatK//foKYX/X9BMHMCaUzYw6dmGwCq3kq
/jhBGCTi0hWEeoCCGNHcHycIkxRd1JgUOSjf1Nk8/8cJAgQqjQXMwN+SjXj5L1mLrW/y1389ld98
9TQVHdgdFsxTzjk/PZXzxUUGO0IF0YwSqiPoxxweKGnDTVspZxGx4TWsOWmmk+UwYr0fQ+ETNkbz
SLrvZTcvR94dbnmsFVrFmMMAKNZgPS1dY+tm3dpuAz8nyX4Y+F+cNYuB9QQF/XNjtUv0RMQ4s343
snqNnOSEf+IdxJw/eIYP75JCQRMQns0vNseBcPTwHzclHLA477aJqLe15x0aqiPUd+sJ84wCHA/x
ao/PpLx3hv5q0KOOAtSMN9Gkv2a1uuY49RRhClk7AZkeosrHTY0kiCBgCjLTbvaW5LTgBgJdC5WY
ASMtSi5o9YjjpEkFX1TeFHQ4GXqJNTB/hEG8uQP4BH05uQMM4kIrFqCcz56RfQVQIDajzmQoJjeW
oji4I8ceonEnV2oxgHBrklNqIjWIQz31sVlny0g41tKR5Qjk2fVTZdxHVku9DVGotWplT+rPCjfH
TVRTLxdM7bRewZxltScorndV1AHbkzexjBW/m8sgVp6NOrnAAueyXC9uZIT6i7Dm5yTRbsdGgGAO
Sod8EyPHRG3cTXn8nOKYGzI6u7Rv2CBjzKc0p5JK/ZhdzlukTzRw4m70o8YO0TsZuM6jxyjh/Ycj
QogJNOfSxsXS2RRGojBMWnXde5mkO4UcjIHwEMBPzOlbzQa0znVUEtbHwCuAt0dP5A/dyho4XukK
OpkGppbQIfSiQJnWjmgOh4TXZUbrrUiKMjfkHZ3L0qUSCfjeG+KbNVkt1Fw8a118bJP4WMc4k5RQ
43hhwwA39QLXVoMXPVcMBE2t2ARGeVVg0SJZiXA4BVJD2MRXcGmfq6SKCU6YxWdxvZJmgQuaNzr0
NF+1rN9Wmnqt6w2wzCHfkoJ8qMNuh9/lvlP6TdkUtHpKTN1AIIFREe/S9J5v2gPOyCxSUa31TxQ3
702vL5VEbiDgjtRepJIUdomfhE81OtdlNbTL1OsvbpqtW9yd01XbnwIlXo+qRyBXcdas4lrvgy0V
4FnpqP/7mQkwWws7/AldSdqrPmdQ29hxeEDjYGkrUUBNbHPL+UeLnCmfa+s5tSgu1VztP6JUkgic
G46vi/mnmjZvMmGvh2HqJLLblSSGLWf5y0YrrF2kUTZN9CtrWlkGycGFJzfU/ZD5pQHpEW7k2lNc
Y11zyghlhPw1SJN13ptfO3T0IFfTr6XRP1VT94W5Q+KXDS2+0Biuxy4RS/Q6/XJs7dZnOSKblsoT
kxa+qfbA2kMH3BVYNWVV6Ysib3dWgSUSkaSwrfteTQn1jcya85bJnDEcqoKsRkfWk+92odR8t1BM
idgUIcDWRKiDn9qAoniFYXjsLp6KcfwyeLViHMhnLQ+DRR//qSautz+nrdiWIZx7IhAzvzRTcx0z
Nl5U6vRK7OJtwzBl2aZyb5pFt66VWm5cxT5YjmSyQhTdosvsL1VZEhDd2nQbE/MphScGfYFTsKZO
9t4oeZjTArYqfx2hjlW+iMB8Zbyhr1o3yRfGVH0gzuuXBsOOhVkA21VVBFN1W8slHNTTCNZWxh6B
ZkI5mUV9owTdgRDHlz4eaBUby0GODHM1ug6hsMAHGHJP6W6pA4W9I15jjJX2PABrdQt1FvHvAP2H
i6onV0GDqzEZgRjrH5NGTmUTWh9pnz8UarxSpr0+ymRlWhynw/o2lbPwFCWglLheD1nknNQ0U1ee
LOe8pF1E4xW1trSXFa3RBQ/jle2k0wpWN6ELCphtdszVAJ1gFcvuNKnjwbMIneEuiK1DoO2i4bS9
MUizAXwhOILHDmpkSmxqyLs2XU1W+KjXDI1cMwlWhHVzpEq9gYszE/bQbBuTpy0nOYunh5ijsyvL
cy4FBOpyOAp3liW4+NJDzTlDjT0RCoWgSARnjw5Gkzdg6NtX2xtGn8H4ZaRTBCwfCzDhloTGJKCM
OxB33VA8lsyfEyXlPXbTU1d5EQ5h0l7SdkKUrOrKsi7b98bz7lmg16rIjmkeQXsNja2RlPccbTZK
7MhlH6q7ajCue1fcelb5FrPR0eBQr0yVBoHF764vzGATTFqNBraGytCzJbRDuGDomdAeSXeeNc5d
p2KZuHq1aayYyFOzORPSfE0lsi709v+xd2ZNbSxpGv4rJ+a+HLUvEzEd0VqQBIgdY3xTIYNc+77X
r58nWWyMdehzRlwwEUd90d0GSqVUZeaX37t9bhNliVMxKQKNygPY6D2Jv1DtZMUGlo8QfkoeP7Xw
9JiZUbtArqosTJXgrZoBxQQ3PpXzKqT0rQ+blNSLwnQOraq/jsGE6FKxCbJkHUjB6C3gP6Crdcwp
1jgeWAaRO56inpkKYmapyoUYVk5WowrTv3VdJLFa4eLgoK10PTjzm/CzJGccalKylFnkWOCMbjkm
KlMC12O1bEdUk1oyM7P+Ls28G+Rop1Vq3Y26dteb8kFemV+yyPuSwWqb1TAj3CT/Imf2UtPLy85W
j7RQotkyRFM59jF97TbCCL6x1K0TjYdeE5xDikWfUMuXqS4WccnAHAEvkIdS/5+yW7jvvNHBD7aY
Ze8ou/mrH2W3jBpFofIW6P0rqpfyiW9ZhWyqgMbQBPtRdpN6bIliGHoJLAKYqFzwuXFP6B36LsHi
szTOVorzd6gFqvhALw6Douy2SBjgWqg4kb39pkrT/MRXs0A+BUEIJm4y0j1XvmbePdR3YqEg6MB6
x3MA+wqEAcddzr+XqnVqwpFvoFvSurqI4c5TidEIhUxfRf6XFPdheEUXWmqvc0G7r6xbspph8MDH
H+Hl1wZdNE9Q9VWvuc779IqYYYgBDqmTBXYBM0THty5MfxPGvzGE8wQFwAjPS0ERoOpko+ObSCma
zun0WNNoDJZVQzMpRE+geNayEwIDHSO9HsUBYOf1iALBQYmA3UdCdoL6XWLVg3rzOQK5n+ioF0pH
OhhRMwQONSafbJE7qGAorWZ2UJt4DQk3cdQQNaoI6mCbpg4ZCeglygpq1oCCoug4mAgQd4WROPIf
Vz8KZQIpw05a4khCIk1QustGoj+s9yv1QaVhXnR5czHUSXkdo+OIhaDDLOxDD4WHnBhHmHEl01zu
15gG4MbvWdLcQBdSk0wKdRSvTRQjcOzoJqIhGZR7WtNfPZQlg21gxCjEJpwDvkZCfhIX2hoF9VYT
whRaA9emkKp0MqIVSXcPaiFjGYSgRe6HZYjCxba7eY7ipakYM0+IYLpHQQzmNqhj8DODHO0SWb2o
jcDoadESVzDquVyvMhtHqNpyhpmi1nQWi0wuqdsC3W3nVUWlvInboluFtaHWrNH4bU96rRuwQlKz
cka4jj/z/KJg23QAiAvyZzLtLvXLYiK5hK1oOpJmekn8r45W61jdwc/Sp05UfLdpFFG6k9acEhpm
KQMxb0Z0YY35cGRp1onkq/a0xngJgytqTcn/Evf6bWr3CKz6Fl+cyJ8ijKEoL4z7MK++UzJsx7oc
Jq0Vf/awXZ3AHV/LbQ9FAairTKWALOtam+tGe9ajDZlpTrTU/fLWjoz6AH5AjJbUviWnnqBtHQjE
tLr7ykYChMMDMWkJ54Y0qOypHDreOvakE+82bmep5x2idb/XezS2Cc8LvXMSoY7MFBpklp+3GmdT
auLrXA9yUus8gRVMEIcisZfNGxf2zsLgX2ylu/HG4pwIt+mgk2PQVbepYVSwWCQ8wC1rDGZcqhd6
mZmE2RNcO0pyySfGtuwBsoWRHWjIRTNk3iry/aPRTE/GMsd4O/9ukvKEZqflMFsMUXn3z77ygAzr
rPVv7CtNjVHcjn2Fv/qxr+CEiFBCtCIFvwxjt5/tHKwQORY4iCFosqpCvfAsoWDzQBuMsyI6Z9wy
CE77sa8QW4M9tSzUlqThmNbfklCg0ny9ryCbRFgLY02VDYCZVyrxVqVSKyRnOGWHqw5kKU7nlS5X
Ecwk2y1Y18Le4IhjYCViuGm+7rrmkgVvYdgRjAThbx/4snHcp5w22lBNJw1yKR0IfBoPWnWgKrVz
YmYkofRo0c5VvWQO6LV0BGfEWFRh9sUZlXBKgsNdWnBMUfzxPAlouLsdaKSUt6SBebQ+4TdN06wV
Jw0M6oOsY4uxoT80pGDhkKieE3Qfr9oEISNB9Hja+8ZSsnrkFJpbrZSoAbdwzNTAGSm60BV720XF
ZcaimScdKXKyKa1CjhCHHiEN07F28lO5Mb8iSb5wCq7iKtEakL6jBdDMqj6NZ27nrGWdodHgb/Re
ey5HON80+TW711HgV19lCcu2POFmx04l8iA81klFZpoa6zG370cnxv5sIMjDVlvskLIM//mumEpk
fEx86HiO6t5FvlZNDDuDjVrBzi7WqZp/CQPoJZaWu8KlrJx3xvBtDNQTNi3+DwV9gA6SNUor7LNK
I5tnITUpDu0+7wcwQD5sCc6ugLzm2QIw7oAu/kKl7m8U5wDbm+1o28HcsFocPAzs/EsLhWFFNkPa
VDlMrxDHILvLl44H4tCp+g3uYOuGGKNZoefztleNWTVsXcucq2ouVLjeBr3+98byspkVgQHX+kh4
n1zHaztWz9xyMCeWWcjLPMxpT40bu6hcOAHgZyDS5rQU+Ts0NVYtR4owzM4bOZFZ+2BX2zG84OLA
iB/CrAnSVczzvvNuQOQd7J+qI4/sglkrceawOWCg1SUZLYi8emYNo7y04jSYZ0kFG9hz63lQOJ9z
NzxDf1NM4b4duZ3NHldg5cK+uYHNDsTRZhur57hZ9VgwVZI7Lt06Y8Oto2iee5hGJGoDCK+MOS0f
TyeJz7u0XItnimy6pZok6xpm8bRJI+iKOJJNggIGFUKBo1jqzk3Fv8Uj1J2kfYJtE9Z+iakuTeED
3XrOaZ9WFSRvlU6fT4qpiNMxc6WeEN/tQ6LrT7NeWnECpGHfRXdN2NyEifYtH7qzUKd3qHjJlkXq
pFS9ZFJ29glEO3ke2jDw3Cptj52hOtNy7R6nRvqxub/U4uFbFzonvZpeYggUThNjvI2LWiaPyfAO
bCMMD3JxBq5d87bKinPVI+0oDKNtOAIvDapLVEtn4f8kmZjJwYB3vOAy8z3Ya14Qz6U8uknx31FK
HxCl1TelHH4lyhWwvc7ww8lIuQ0ybU2w6uewlPA8aw/BrGQqH4NU5fzQzfCTarKGGERFmYSOdFsX
+GuF2XFWJvGks0juQJj0pR5RCUSe5izb3MLoNSEguFN48IrK0U/VKAOJK+jc3P+zLT5siwa7yJ9v
i1dbf5PsOG6Jv3qxLSKBUREOij3sgSX0C8qB3kZkMXDoEiehp20RKEM3OFLZgB+oyQwcgn9si5zE
4EkhrXEehDVwsv4GTwo/+dfbIgkQhji+AXDY5G2+QjnSGBsa7M7s0xYLgGoWajCrDXkZpqmEDtab
K6xiU0O0Rdy2WfXdoBAwCilAaZ3D2iATBZs95cALhytbyopFE/I4pkqA5t9M5mGT33lqzyOLcy/K
eHjejTTTpOZzZY/6xZAQQGGWpkv+4GCyL1mkT6qYslptuWYjJ7DZU33Yscq32q2+y25TL/MuZV4T
WTA1syqa0+e6GJT+nN6KeV5QYk69qLNncpxC9LTRChPeRv3ZALwMDotlwl3ZfQS1u5FIAMYXIITO
jONncK+kGBnPqpYjZp0SaWWS2MsuPEKy1YgLi9xUOXVVgtj6JuXfIKouLSVWJjlvPwYxGTgWMDIw
DOxe0FpapKL7o3WccfBfy3zKU3VZl+xpyDE2dayRAOYx8bO6NejVkOeDcw3Uh6NWknVOuRrs2IRZ
Pvoo9sqmpBdLE6n0TXcu29J1PlYYupZLYCgC3IvxrOxw3QIeu9EK6y4rsxM0+MIS0T+EKndm1O6V
16Ln6ygD2sj5Xub6Sm6ctVF1BINWkjklRN1a5HH2JeziQzMNbvuwhqDkSN97zxbJPc5BELdfDZzH
8xSpt4K3wjRMIe2mJsPSxlo+0XzPPw7Qqk6iogq+qml2Zg/h50i2kkmXcCyMU6Ofo6bq5kkGyDBW
1Y3ZVre2CZqhq9k88gLcNr3AJ4ui+JxxdDlI5BhKg216OLX2VxhnQfUSLe6glet5OsJsN0mVxjyr
OctFT1wW3XEKtjs9r7+gw7lPOBkfuJpyn4uOOiy1+jB1VYgidNthQrQHpujAjwWOkxGP66LBQwp+
mWjVB6Jrn+vaiqQtZ+GhQ5tqhLSsepr8A81+naa/Jrr/jotVtRJW0awxq+/oaUixk4dkytzPp7lA
EAK8Egk4dCYWwBwdXOYIQWCkqwvswVWKqSbQiA5YwsMKd+bb/akGYKECXPgAGGZkryQAjUZdJQlV
2drhmpVeX+YC+zABQaLEvLGc5BR0ii1BC4eZC2ASwf+WBYCS1l8sgahk2H5jDJs788pyymnm1NQQ
IbmuUb4Gil9UUnKNO+gqKrzjOslJmAe8CSBSqYA5eoNM3xL4TtkTaBar4yG2pLc+WJBhAkaZcmet
wsI6Vp3kJAA3igWAZAsoKYuikXIGeMnzAZpAm4JVA/akgkEpYFGxAKVsAU+Z4FS6Zdw0xE2pAsDC
B9mZ9QLUwvXRmBHEgi5YQF4UkQtM0yCRmGM/lcDFOtO9GQVQVuQAttDsWXr4O7qQRChRJOVgbO5Y
bgsBuqljDPXZUXF2BpDDOC+aOAzrtAWtU0Ht6o7QSk0AeW1Y6bOoxdA5AuUjnvNIB/ULfBwnIGGT
0AciKIMMjiCELvjctBSgYVHH0gQm3QVU1VscTgVek56rAmpUwBxNp8GjExCySG13rlbteQk+6YJT
tn7FiV4Al7l9GAgo07WS8xhss7cC6dAH7QwE7CnX/aEJDoqPJtAfJekU16V4aqaomWMBnI6yv4aQ
Rvoa1dgMO9bv3uheFTknikHh/K8JCLb3w/syN069DHBWFjAtPTpKeQHddvj9LWvQXEv0m8diPB8E
0CsJyDdyvMteC+aNwILBhB0naZEUlodI5imjFd+jdwaErHUmcXVmZhy4yfAl4Whee/KGejNAVAcE
bYNFUwxdq2DTI2oK1MbQIFv9QARrtpl9RI4oDSC3XuIoFk270cTgHsx7sJS7EQzc8Fize1Bxkw5E
oZRbIM11DWo+gq5ZAkavhmaKkuk2g1YJcRGfFRB30naXFgi87NVk2PEQwNNj5c4nVgDAYQjYvh+s
qxwcf9SNbVSzUAaaSYpmLLiMnHFq0H9FA6rsK+e0xDVxocIQiHluKdl1HGBFZ7tVpQkT7bw0cH8w
rRH+6uBt2DvLeRb4zUTCM3sOkdo8tW0Jgwo8RRZlVX4JIuXSSJt4iojzGrPS2zCie1KyLiBC5dGI
rVxhBVHA9u1vdAP7RemUB9zftzKET5va2X1FCDCsMEy3U18bTxBcGDM3L87Y82CV8rMu949qHBQn
9M9INZayuZM0967QNspWca/5mHeFDmoqyY04E7hrfG8bXFcGbHcyp4WaW+sYqjSwIGtWMNc2Tnw4
kbM8D4D5yS7PGm85YGMzt1gnJar3Tkovh2z0oSOHXyMrv8OZAGCOvE3XhdkXksCJevVSMcjkLFri
ycjOW2GPwVac6qQlUhpNyflG3yEp1akz6jOPFMNIJH7aSXfaW9gNVYSBylqQ4ASUf7elFHCMwNCO
vLy5VBDhSZ70JvLhyeUwt2QIaeclug9Wc9IL1nrrL/xAN6Rp3IDQQFVzipMsjjPfnJSBTE8SA6F2
BNxxCv/RoO8f2EIk/Px5HX0Lmvd7c0n8zYsq2qDitYX/Gqx+YSX3o4pGn47kEaIQ2vUHp43nKlqz
PyFTJDMFxYGmCGDhZxVt03fS4BjRdqLwNay/VUVTKL+uotnGTZ05isRShbj0qoquyy5MYzXsT/Oa
pEuAUIK2y6taTfxpqCIlGpU0u8IEJz5V6yS5rBq3XEqy0iwbwuVw8mBvQpdeE6mhnaDElzHUSMCm
rXCrwZSlPSybR37RfnOaLr/KBpokURH3Zw5xpVMYgNbUadzsSq/adSk3oM8p/IbAB5v1cE0nxsO7
AISgb0B09Nwj+3FWKcp1Al1xGeN7iy+ttshRtGmDfeUVTXnQ67C5TfyOT+OgT6a4onyVZLNbOsjc
kOgE14XeZWtfHdKDenSaqRSlPfVjrJ4Giu0eYHrrYM+fsaV0Kq7/D8dQcSBFyIONRTqSlsppNavo
bejk49JySY4bat2Ik20njrg1Z11HHHoNTr9yoyND9AgO5lwccT5mT/jMaK4zcXCWxRE6E4fpNPK/
Gpyue9PpyR/NbrwiuhEQKWGaHMVdzuS1OJxr4piupYqFC4i3jMQRXjJpGYhDfZ+ah2aJpW89coRw
xMm/Fj0A38VPKaUtwBcdIsvPLzPJPdFpHNhgPQQ/5HwS7d6ltQA5pj2GUlHCMBBxCzQggHlZIt3x
xMj4Susc01yaFRFNC1Urb0aaGJKbU5X5/iGGvac4ixGiIjoeiuh9SJ26MlR4T3FD772jQQI/jo5T
onNIMY8z0UPJRDfFoK2Se+O5TpuFIgxEWHReWtGD4fkgnsAuIvtUI05a+yarpjGsLAyh5xbB9cAY
I1ULlIwZWodqggR0K1XRQdDY4ETScPAAzri4E1KYxIdtyDHHMjhPqIlyjO44nMSCkeHKCkiJYQeL
wSD3ulDoqUmjelGiF8bQrEynuhfdFSrK9MEPhnkAgWSeYfgiy+jlsRFnkIPKXUlDVUzBSRToNrY1
lXlS0ZdexGna82Trq94ms1VoW65S3wU60PWlkqXQ8Mi1YLc1k5nqdtNRlwnQHtztMKjLQCJINTKM
q7J2OZik9dSKtKllOSc03uIVFHMMzTuaWlZsrkjg1U+teuC0Z5f1NFcCFBqlftlGon9ZG8d4YOfk
SA/OVJaMwzJugkNlyI5wTVNWRRbwLdUY4mhfKsU9lTrvoBvpQOpYuddFSVink5SLamCbZSud2UX8
zY8NDPdzpjrTJBcWCPTQvuI6ddgLc4RIsuxZLAwT/A7rBFeYKLAPgcjoVDOERp60hZTRGaIbOWA2
F6eiodxSGbtQ8gaF/tBQ5Jg1DCNGM8LAQS5q7IXJmFsMnou9gzB6yIv0CKCPPGEPEwi4ayOiBUVa
6MIiIqOtbUqUGCPuEZLsfcmlRDtTw4AkZmExIQW6M8Ua7lDCG9ATNhQmfhQFgcffKxwqHJ9pfG7h
WjGGwr8iffCy+KcP9diHYsN5Y/9svu3qQvE3L/ZPtk8dqZpl48H8ytLSxPdZBPxgY/XQAPoJzpga
my1GAyq/YoHs/+hCsbWKTZUgn0evgb+1f6IM/G3/BOoEcCcPjhhKfGj4+QuWeVyXtdxnvXxaA5Rw
ejMWJjjHkSo1+QTie45JCcgK2nF6tJFbHWRZoExrAJgyM6AaCkyGp884LgVOw4wQKm1z0QLhxHaf
r0sSMfKWrkpt3yktUnY16XBUaURKSrdyXPuAkBZ5lqP0wruO7cgRJ/dOv+7ScqkHfnpVeB728Hl+
Z3b2UQb6USq6AAkg8plecRcPTkRihc6xs+uWfd73yFaE0ZyM5ZwS6vqZpNFnhxg5rx986TrJnUmo
22hlFNh+1BtMIO/cxEY6MqTy3BMOdzAEcXjMpIsa1fuZI3zwEuGIF2uECrsokmduYOpTDmhI9t2B
LoEO2IGpXhWY50jRTmzhtpf70ZdA1a7qzMlnEoZ8eUQHxh2965JMhoBZ38B0nFAMLEljvGcdTkFX
/WWEzV8qh+sKKU2C/V84OldKCInQEAquUpWvsBdTaeDoh7UP/hELH0G1NjaDcBassBi0hddglQcK
JCNokbp8xqFIwdovOA8cCPdS0tnd4TAgYxlAbmUQXBkkl/30qBXQrhZWF40JfNwbMnEyZUI8Dkhw
SLeHzTGeWWMEKVGSSApLaZaWsIriKlratMTnQVrZp46aDwsyf3A0NBEUpoWz9qpyqxbAa85oeedS
E5EsHRh3Dny0k2JQv8e4p1Dnm9jG+KHwEMV+bAolC5wuQrRWG0l0kMZpfuhF2SmoVA7PyT7tpIwW
jOmA2g3ZdzoWGmxBkWOjnuRZnqKTw1OrDvRyojSEZSuGtAh78ndbpflq5v5n4jyaaUmWO64M6WxU
fcbNY3DjlL6aXWFiBJEB28RviecC/mgAj6l0rtj5dx2D4ManZVX09jSNzHIq1yUGg3Gxys3ksK+N
ue5pp4MSnepa00+d2BEiyfBG7txrI0EGz/kGm2HJui5rz+C21WM3V6k57AbhWJFgRyDLF8lQH8ps
XkUUXgSBNzeb+LaTy2/4JWWIBmG8D1V7YpdRMyuhc00yOV0DnOJpqEuHNAb1hSkTHtA4QwSPwDqW
C+XOVsmTr+rhJtfUZtIqOeQyHJWzeixmQ9+uIneUoefJJ13cffMFAmgKLDA1SW3IgAc1QFqHStgE
NgwFfmgDJNYy4rsS4o0kMEbscDIMf/AvFfjjIJDIdDDua6DJroAbkwBWFm6pApaCX0aquggBNG2A
TYrqawWgU5EqIlFAPukAYJ7prEuBiXLDM29su5kDXGoL3LQZ5Qv8LL8OAlH1dD+eBgJllaJBWmUC
eU2BYFugWJ0EOx9o1hYYbZ7oSFp1gdy6AsMdBZqLReu8dAuMagXSmwD5hjJwsw1YPi2UCmOlDGSY
MDCohgItVoGNQ8jA3B5Isgv8CUzbn4dw+fF9le8QJDz5bv8/OKc+3eJsU2/mDxbO5822HC62VRPX
1TMQIn56lgVpfZX9337p7Qs9mUdfDfn2f/5rc09CMpY0dRnc1Rz7XhtLC57BLzv3w4093PWb14k3
GFQ397wDx1iIog60OySx4oUaJs5S7+nHErGPn5jytgG69LJcemsU3v6Aj8P59u/8+c2/HAMM014T
S/7K5+cD/vz41icO8SyeuE8+vMDCfvn4OBHAqCbBgubAw+sjDMJvT4LQ6u39JFifcJ1DDkVZ9vCi
ofHLUPAkqOjb8CD/kGNAC+fxxu76//a22Y8H9G/NBnzWIRmJhI/HMfhtNmBlyPNCGioPCjPvxYrx
Z2vC20/6frPhtwfBkBWA3j2XBPMTkjS+aZ359fB69SCIOcHPGAMekY85CK+R9b+yLjCYPxcGQHJx
mNF1ldPCr9NA/6RwykHswLIpXh90DOTH9Xqf2WBCklMIUFee1j4+6i9DwYNgYYRi2MrjPvQBZwO9
3D1ng/FJgz7BiiDYgrx27BBiB+Xc+2Fnw+ON7fMk6HD3VQRYz0vC63URH2vM+jAURN7yNEgfc2F4
j0lBopUmOqIPn/S354FEYzJjsEgUHY0POQja637P314dNYuJL9Pugdjz+Hq1MghfX9KJiZn6qIPw
9O3sMymsT3ClyO6hvfXwej0pGATIVXS9RFH9IZ8EsbntuTwy8R8CslTlcTqw4P6yR4iqEVBNSH8+
6CAI/tueg4BXvy1jLfG0Rfy2JpAAgM0p3Uzro04Hbf/aGcNu6ITCnO1xOvx2foDD74j/sJt+5D1C
5CPs+TxQIso0sG2NZrR4vZ4UPA8qc8L5uI/D/o0F9ZMFBdCA+PlqReDDYyaDpx1Kv4fXB10XjPd4
DpCKwHH9s+YKBTQiREU2n4r1j1dAa/vXjmyTPAe6kMbsnAxYtagEj3DifqyoPurJ+qmU2a9ioC4E
hXp+8n9bItksUTCxSH7UQXi6sf0GQRwU0N4+1Y6v1weeB+pKhaDVj3qqfLqxPQYBpyGO1tREz822
10dryiYTObTBUeKDLo+C8LTnNml/Es5clI+Ph8bftkkGgT0E4NZ+XIo/3vKoP1b2ezwJHKVguiJI
N59qBdGG+qUBj24eGYeIR/nrT8JfGKkfgMbUxy7uAcqAp70L8fizX3jubP7+8xdAxUOT/pffFNDG
45s/whni///rV6Tjoa/64qfPfdaHd3r6+6eP+Pub//Jmz5/r+R+XmBhsyjuAyweA5+lGTzYJWMi/
Y/7r9/zOx+b6z7v5HZb5MQ3evjq01O1L/IITkya2vOd/2435/LWLJ5v7rHy+0M/kUXES2fvOcTSt
d904T+re155uiBfmK6mer/Xi3ln59r9+FjfV5vlCLy7OivIOF0/rcvMHcV+77OgEOLf3W8y28R8n
OPfuGn8O73tffx7/MctKHp7na70YIhb4va9/UKL92HVxFrO9L76It2n6fJ0XN85muve1l03yLYvv
6+dL/by88h4TdpXk2zLYxDsu/x5TdpUOOwZdxAbvPTBH23LHmCvvMVmPgtTbsRAISGvv2z7eRDvm
kAAu3uHSVbXdNSbvMUGPs+qPfxMxGW93jcx7TNH15p4F+HkcXjzn7zFF15sy2DU07zFFxbXzbNfq
rr7HFF1v0/vsLti1egn0d+/HZr0t77b3zxf6Oe7Eeb7DxTPu/fk6L679HtN0ne0ck/eYpVwaL5Dt
sOPO32OmnmzyHQ+66ILv/W2+mf3+UGvuUd69mTK778XP4s3dLv8V9T3m6FncJLuKO+G8tfeYXwSU
jlVwv2NhF039va9/ubkrORKkO/PU3mOWXv6nwLZ9v9vHNyjTTXm/cyETve53GKb0j1mw9XZUHNp7
zFrxIQ7IWb4Lqrtd7/Ee01e8x2G2KZpdu5Vogr7LKP3nAJz3+MLXG0LCn+/459ov+pfv8SnqzR+T
Tflts6tm0N9jWvNd8B7TePc7vM/EfniHshmfh+TnMOnvMrHfsijf+zt+y4hx/4tXUTBkzY6BeZe5
/FZe8N73TmGyyzJFtCr3f/LrDeKweNPsqMNFG3D/N3jLB23foXnTTWbvi1Pjk3r3PAY/55LxHpP1
qmEl2LHFG+8xUa8aGkTJrr6ckAHv/Z1+5grNroVSgIt7X/0NafO+X+ntn6u+3r70rrbsD57s783a
Z/7rrj/7tRctfuMu3m7Kf/0vAAAA//8=</cx:binary>
              </cx:geoCache>
            </cx:geography>
          </cx:layoutPr>
          <cx:valueColors>
            <cx:minColor>
              <a:srgbClr val="FDD6CB"/>
            </cx:minColor>
            <cx:maxColor>
              <a:srgbClr val="F34819"/>
            </cx:maxColor>
          </cx:valueColors>
        </cx:series>
      </cx:plotAreaRegion>
    </cx:plotArea>
    <cx:legend pos="r"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extLst>
        <cx:ext uri="ext:featex">
          <cx:featureExtension feature="mp" drop="onModelChange">
            <cx:offset top="-0.81989389657974243"/>
          </cx:featureExtension>
        </cx:ext>
      </cx:extLst>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6D8C-4B88-B138-22E905342989}">
          <cx:tx>
            <cx:txData>
              <cx:f>_xlchart.v5.6</cx:f>
              <cx:v>Amount</cx:v>
            </cx:txData>
          </cx:tx>
          <cx:dataId val="0"/>
          <cx:layoutPr>
            <cx:geography cultureLanguage="en-US" cultureRegion="IN" attribution="Powered by Bing">
              <cx:geoCache provider="{E9337A44-BEBE-4D9F-B70C-5C5E7DAFC167}">
                <cx:binary>7HxZb9w6tvVfCfL8yUckJVJs3HOBpqQabFd5yJwXwbEdkZSoidT46+8uZ+h4SF8HuHn4gi4HCMoq
qigtce+119r0f11P/7gub6+6F5MpK/uP6+nvl9K55h9//WWv5a25skdGXXe1rT+7o+va/FV//qyu
b/+66a5GVeV/YR8Ff13Lq87dTi//+7/gbPltfVpfXzlVVxf9bTdf3tq+dPbfHHvy0IurG6OqRFnX
qWuH/n4ZX5Xqc91V6url/WP475f/LK/M7c3Vi7juKze/fHFbOeXm13Nz+/fLe+fBL1/89fDrHk3t
RQmzd/0NDCbsKPKDCEeU8LsXe/mirKv862EPYXyEGQ4YhTN/+dY9TOWXZnQ3n6ubm+7WWriyu/8f
n+DeZcDd+Of/fheuD3fjAEAOWPz98k2l3O3Ni1fuyt3aly+Ure9uVzfH9eFS37y6uzd/3Yfwv//r
wS/gbj34zQ8oP7y1/9uh+0D+LyDvrjpV/RaIOQtCFvpfIY4eQxwSFFHG4ciPGD97Qk8jfH/4M/C9
P+APQ1f0zt3+BnT5UYgwCfww+LKAH6GLjsIwoAhhdB/dZ0/oaXTvD38GuvcH/GHontb2xT+r/La8
tb8B4+DIDzEmURA+jTGKjnBASMAQ8w+vB0j/4uSexvupkzwD9aeG/WHYxzVkoUNutu53ZOjoyEcR
54Swp8GHDI1IEIUMPQjfvzqvp3F/8izPAP7JcX8Y8ifAEH/HeqdHBDNgXd/WO3+QsRE/onAMQjrQ
tR8z9rMn9DTW94c/A+T7A/4wdFdAWKv6N4RzesQIomGI0JcV/QS8LArhB4X34X3+jJ7G98H4ZwD8
YMQfhvCmN5/q8sb932Mc+EcsoigIMH2wdnFwhCgiPtRcX9C/D/GvTOlpkB+d4RkwPxrzhwF9ctv9
jsoqPCLsjnrTO9p14F33imeI04fcjSCa30f5ufN5GuF7o5+B7r3P/2HI7q5ubu/IF0gB/6fCCD3i
FJMQQ91893qILfaPfAq8K0AQvn/Mwc+f0dPoPhj/DHwfjPjDEN5fNb+HVmMOFAs41Bd8yYO1exC+
Ig51dfRA+XrufJ5G997oZ2B77/N/GLKv6qo2vwfbgHAK8H4ph/0nsGUopAGs3vtr9/kzehrdB+Of
ge+DEX8YwpdquO2suvkdwhc54pEfEvI19z5OvgyyM/OhRnoQoH9pUk/j/PgUz4D68aA/DO1XV9cd
mAOV+x1FU3QUMsoh4fpfaPMjowIdBfzwA4Ts8Hqggf3a3J5G/YlzPAP2J0b9cbhXLwQw7KvuRv2W
ghlKJj8Ci4KQp3M1YkcYUjV/uNJfXf3qxH4G/JPneRb4T478Ax+ARN3mv2Pd4yNI1Szk+KGxAaAj
SiJ4Kr6q4g9SOWD/7Dn9HPb7p3gm4vcH/YFgr7qr6lrZ6/rbPf+/saJZ5Pssir4KIw9lMWDkAdjx
YUQeJPTDMv8+o+doOT+H+/Fpngn544F/IOzH9VXb/y6PGhZ5gAHgu9cjxo4gwoMgzvmXcvxRdq9e
/MLkfo7/w5M8E/2Hw/5A7HfQVfE74js7giqMMf4tij/idVCH4wgBs3sC82dP6ueI3z/FM/G+P+jP
Q/tgZJZXv0VXg6oMjGoOAvhP7Ex0BBkABWHwwPyAKP8r0/op4o9O8jzMHw3701BXtlBz3T8nf/5a
j1mADn4X6GjfesyeSOyUhDQEPfUbn/jSZPbqF+b0E7wfnuE5YD8c86ch7a4qZcur/ndY1wycaZ8B
ml9LNRBP71kiGB35/qFZhT3oVoC2vV+Y1U/QfnyO5+D9eNQfhvhb0GT63xLNAxDJoTT3f9acAg4Y
5gT51H8A9y9M6WmsH57gGUA/HPL/Acr/for3rvnQXfrPb/HziXrs1zuDMfQNUo74F0oO9OveSj40
oSCQ2BE4YHevb9/9JXb/2M78xR57ak5PY/vj2HvX+OUS//1N+T19vz/vCf7eXp1cuav0rjH7h7bg
f3/07vKhofzB0K9+4hM37LsXtb35+yU4VyT0A2DM33u+Dye650Z+8Re+QXN/1O2VdX+/vOvxBkoG
LcIRdJEF+GBojrdfD5EjkNhJBFaoH9CIASer6s5J6ByPjqIQB2CRwRNAoMUUpmHr/ushSAEYzhVQ
8NB86B3/dqHndTnndfX9rnx9/6LqzXmtKmf/fhlE8KQ1Xz53mG8EFV8A0l4AkYZFJGIYWEJzfXV5
aL6Cm/D/iqopm8LX/hn4tZ1chdHSxeAL9Ned7tMhKCbhm6zYeJmrYo3428wNUmSdbJMwZJ+cKV8x
M3KBfZxAk64vskZ96j1/a4f2tPB0Hndhp4VqhySjg1sVBH0c2ZSvLR7tiWnbbTvkMVnUGXHe1ki+
s8UsUGd53Ge6jYd5qQWz0aZSOl1GL2HEJW6k0J7uLecF7bO4VOMlJu4DV8yLw6K6mAsPibrxXntS
dXE2aCtapVZ5Rk9K/b5U88cx93uhQ31pO+2LrrUxMuGJ8dsy1Uu1nusa7/wmOJNqCQRsYjhZwmY/
VP1JZLObho8nCtOPeKbFRTC1Q5xX2W4MnBQ59j6MXZjaCKOrbq5nMRZRstjurcL+Tc60FGND2piW
5ZuJeTd9OMCFlHxTFNFuLnOZIriGzC92ammurK7tasgKlY6zM7HEbbiuwmybTbIVXWTezE12Zvvx
o6GuFgXDp1PUrl1Q1IIbU4khQqvI5us2C88K3BARjsumH5Efzwt/qylf9WO4Gwe59l00xDbSF5Xx
g3ioptPILqejjfx0zJr3SoYkHnCrRcuLt62dmSgK9z5cxpORtp1w1nyuo26HEclPZZHvuQxkUjma
jrZ3MXJ4YzPeCdvmr3HZbf1Gqjhijh+PtG9STOVNlbNXeTav+2KcUlOb47nGSPTEu52C5mSh1Ypq
9w5+t6nqsBPBEEVpjZUVUrvzyurylE/mNT2tUVEKzkxCYT0lkmQyYb39bFC70axb06GVMaTzfAUf
3KG+TZu6N8IvhkEMnn2Fhm6tw+JDMKM1z/tcNFF4YjXjsavrIKkqc9FrOa9aW6wCt5Txkg3pLFkj
wDSN4mLpdg0vrdAmcymeyRrn9UkRBquS94soeHcRFOOxlk7Hspv3HYd7H2Qnbgmd8CLF5us+r7t3
snIkkTk3kaB1xS5xAzwhF1FnvAu/4e2lnXNTrtGkVo74q8KTVPQ4+1zk020Wcj+WdRlXfsuOWTW9
tbT75Iq+FU1dX7Ccrz1ZXKCm3EaRCWNCedJMLNaEDYkq/W4VhW6PSBnAxTVpy5gnyKQ3tZuCVGbB
KHjJllgP1sSNMomrpxWh89VEcdJO08coi1Kfz28AaCki7W1n5Z1WrVzLwttWvBa0QHGuy4R72Uab
eVVEVS6mqBFzsByTxr1DbZfIcM4TbKbVYKJcEKVPmWqL2BVY8ImtR06FaQwA8tZ1ej1P/aqPxngw
/VZ5WS6KiiWzsYlU/L3RuhC2k6dDw1GytIqvJkN7sRTVhrf+njh+bccAFsEczxNr0iLgCWnmXdDr
7diRRhjsdyd4HAHbUGRev+ltd913w5meosTq4LWvciP43J0uBaMiCKs0KGAV+pEU7YT4ChX+q7DP
bltq4ekczNbxPIotGzYoZ1PsteEmIOY885fhRDZKaBVGIlJDLIN+N7LqZPKqSpiijIM8+lCSXjga
bfoqEN3srznrzxUd3vm42WbBtKKDz9JClxD/psoTDa0vSc9drJbuLPBzMed6U0IAbNSwz+jyuq1r
0WJ3keH+uGsHQdtwEBOfk2XBK0q7lHhoW9d2SGxdLRCFyYqH7sSvllVUBUPMZ0+0jf+pzCwWDvcf
iYrKeMQh2SKWn6NqFk2eX6AlOuXRPMTL4qkVXcZjnxYxq0cZF02uU+MpviV52K+5nM5J6a2Kcj7H
PPpM8LKqTJNY6lLbRd5KqbaKR8+dza45dyx6M6lexiYM+3gyIU8njcv3BcnmJG+Gz9r2J3Ly35Z9
tdWuPpXcDqLv1GW/4ASr7nOYz2nfo2Yvp2nV6uVNgfAiwqF4CxE4tVV40XlZLXKff/Bo925qp5PR
yEbY3rCYNFHskDzBRR7LKTzLx/wkcA7CeDBvs5brSqCsnYMNtbZ4O5TeWCTIq9DKW9wYR1OUlr7a
4rDQohnNkky1vAkG0ifzUE+J7dAVX5Yz1BmSAl3Ikxyj1dQtWmSk/czcUMTcFTunGITLeaoSWat3
tcbntcGXQVGNYqgDMUl7DSJC4nx+zLz5zNJpu2CIXx1DvajC6s00e2+bqX5dKlyIsSJJUyokonk8
Gwq6xMESvVqqhiRlr/uLzmmVhiXTm6DyM0GzwUyxQWSQJz/wqSf4yaGj8wd6EvrgS4ND5WMaghfl
Q8PYfXpiW1CzZk74GXplxPtwNZy38SJMzK9eX9pdfazSOnYbdRqux0Ru6pU8DvON3sn13Ty+Es+v
E/lCnK7rZu5ULr/uOvz+9r9f1wb+3W1g+9cvD5sW//VufVsfCLp9+KHD93z/FHzN1+89EMp7bx4x
3G/U7gGH/bIt8icHf4ngIuB7Pye4h+bGx/T2MOYbvQWjkELLLQ8pixjyOfT8fKe3/hECYTkIgftR
QhnQ62/0NjyC/XAgO4PzHMHeuAMp/kZvA+jt5QjYaBgC8rD56lfoLTuw13+xW3h8OAWqxTnoY/7B
6vTvPz4MNbmP5OL2zDIrikF1kEUlLhPWBnzNhujKZvm4apsQqNe86MA7NjbqZ54whfUHhVGfncms
7tttoGxjYt3r0U8bL+zZeRN03Xhejc2+IYV67XUj5kKSha20XexFVEr9kZThcjFXc75u/AyjNOdj
nc2iqkuV4GCRK9damydtOHX9Nsg8o0mKHCvtByOpnhoxlQueloT01Cq7wtWk0LEx41K/yhcgumvV
Zhqnrs67NSe5nyhW5etpcDTp6lGvvWJu07HN0BqWMUrHqV3WfkG7t8sge7Qp+EyXlNgesu2M+TKl
ZU9ou2tY5i1pFTSeBba20F0/W1knDa7pKwUpQYuKNTql1WzXqJGFe1WQsuMpDZrybAJCh9ctg/dz
buv3yxhwCG5tXugOIlHNtm0JTdzpf5boXQ2KYeH8fInubrvr25vHi/Qw6tsiPbTTwioMQxLerTc4
9H2RgvcXRDTgIWcIdqlCofltkcLKJgjDauSIcn5XuX5bpLDJIjjIUlC9BpweVv23WHQvlELx/fX9
jzUofhzkwaSi0C4aQVTAsPnmwSolHh6Ra4viDPmB6465U40fq8EE3ruoLtiYGtqZOe5b3V4gViQ9
NtulM5tpu/Uzva6qWsgRC+2it3KGNQPE5jVs6+pO/Kms5fss15OgrirEDC5pbGx2NheFTkJt3KbB
YRmr0VzWxXw2eeUA1QO+yhgO47ArThp/Oa/oJAXLurfAwtZNWC/ANae3iz/e0IZdNgS4tiJLs8kn
yE99VG8Cyy9crj8PdYdTow0VDlS8tBld8SbLzbkXkCV2/uziYkJnUZ1djAZoAp1bf5PTJRNTF20G
2mCgfOMmo/hD0EyTGOsZSnINWbuu2yHlYaA3DTFlyjsWxWGd0dS08n1ftC6pwqZY50VWiKXx0YrI
qhS9RzwtRurkRkLY84G0IUYEBkIAYcYrN1L6B/arw7VFqDzx2yq/ZI5N7+gAcbNmZhF2UuGZijCO
c6TQfp6D43YK8Lms6jqp7NwCe2Ru3SltV7I2SIrBwFdjHb3LeOs2FSZLMstuEPOAJuGmIrPHGnXV
RdY7chI1XQDpnc9QtlpUteo4YB5FW15Yr1jhsRDDzAr0CbUkSPreE6zVkO2HXvRZpBNXGCErpEWQ
Lys/NBeB5t0YT3M9CdIVt2Xdv4PS7bT2/TwxbFyXrgAKGoa7jns762F4kIxKwqa8nGR13ODuA/aK
Uz2qA0M2r0kux9TJ6Dpo2nOcs31lJihwpWPFeahnhVNCBqL3JpR62aHQr6C0HNOi0TQmwZBti1lu
e5NpMWV1JaBkilKz5NfLNCqR+cDDG56ZVW26RoS8knHQhdehrzoRBn4RT9jZhMgp7ZFLmJnf5JOb
ktlVYaKGQcfzDEV+lgV7R0eTQINnvfFyo6AOydNJwSc1nFcinrK5AdLth5UoQ17E0RIM61mqIfEn
f89CyHBFFyoxN4U99n13QtU0xC4scapK64EihD/SCRUim+tXoOYoqH1GHmeVZaItpOAqCgUH4UlY
xm5Nlt+UNVQEsLpip2cntKfP+xCo6TzgFPk9i3s7m7RGh7xSj3wVwaMPskueVH7n8iQLXa6El9fL
KJRmdXFcWVe//k/+uMsf/r/NH3c7xx+nj8Og7+kDbCUGYvXBisAQvYGjf08fGA4hsJzhh1By6CP7
mj5gkxYKETSKc59TSCz0B4538C1C2HGLISN9IY2/kD4Ivy9hHmoE2J4L/BNmB6ooyOr3Sd7QTDas
cknO7BT48TIN23EO2gRpQkRH21VNcC86N79jeCGJzYPrjkSnjs9FEvqw3PSUBWvXyRM31r6o/Grn
ab8T0dL0yWSH/dRRmwS8A6mu7j/NvPogVZ7OpryEWLmuZneMCb5sm0YL3c694A22okP4tDJFKHKP
vbEFr+OSQ7pZxuzNUut3YS6ZqOtliulkzsKcnKGRprytj1nZbotwIdtlyLq4L3AUD3KCWL6kOGo+
B4287Mc8PK7ybA2VzKdIzYLb5e1kDYiA2GBBcFEIGpgKVIws9qe6j1kj346o/1hMQxDLQm5wD/Gn
sawTRhJQ8AaQd1VD9oVpj8siIGLsus/tIJGYvNrFSxmdKYhK8Zi3ZzocmuPJuGLVqyyHQFQXopBd
HnM/z/aW1n4iQe6iog2WzxEeiv0QsOtFwc1tMiMvcDb7QtruVkI5utN1uQ25h0WGm3ktKxudWTWZ
lLERUOslaBy5y+PCTKPQeQUJRSO6VsOUC9oNIJxMLL/wc4LWS6Nz0eaqFKYCtYyMYy2UIXnqz6Xe
EDKVqacUXmtZLiA5B4LQKYRHoK43JstQgiYQU8rAqlXgN9kqGEmZdsbhtauJSSuiTyEjnSxOnxUV
2ro5XxJlos/ZoqnQzASpZxVJ5n7WKcrYvC76vEx9LSO4EWhOWdfytdM0FxrI/ppjUCFM3jWJr5C6
rEYWrftDHQKOn974fpYlw1ASYQnxLkqotIRZ4ErbiVKhqE9XUe65WM9jJOY6b1LP9Ahk2UIdh9aO
6xzL1zO2533vV6n0olnUroENm9YKJWko5pYHxw23RORohlC/HG6RwtXH0Yb6TSWh+LeSV5u5rzKB
p7wWZVahszCSuZANcBQF9x2SKqhh0cgUELBg7EFrVTeFUUz4mmXpkBtv4zu96sMyzbKKi9FQkNN4
1QkCgpeIAt0LT49R0jWmjOmg6cWCpgs99ZeQworUYo1UXOJyX8AfCtiERfvZVcsnhwaonBqQLkpe
djuFJhKTiSZl19ItncfslHpsWEdZFVxir3+reO28xHf9lK0lnhASqm+uR5gVWzxIY1KXwkayXXtq
fo28ERQWmdPYH/hxZTDI2OOMQLfrtyUkKtGwBehbmaeqqrxjL/A3ipA3g9Uutrl8bVp9zHR1PjIb
ex7b2fAj0MmTvqbD+7kob4GAnU6B54mqQzqJxn487S0DLZI7MEo6VYi88E8xfJts5MkwBJ/bIsIx
WsqdP/pIDJy9XUB4g1S4RAft/QZq21xkxmxrPV9AQ+9pHyoT13IgSWWiel0oBILeIMPkjgkNijHR
wccri5uYWRKu5hkgRK056738VTllH/26/9AEEB4ivxkSVnQnakRXU0FpaguSx4Ot8xXq0RopAjk/
6ICYgvrHFmREaYedjcZ3PXSlJMwLzkGxjURtWLWNwhA+6Xwt+qIc4sbVJ732N2U0VPEQZCvt1+2Z
4m4WutS+8CaeuAm2kme0AD1OJZnE9EOR9SZM62raVdhd1wHbVn34vsxMuFUGCd0tnyYQ8kVfTxu4
6HIlMaidBi1JSdleaogyvPYEBmZYcK8GgQxtvJZu5rFNNFZaeGq8AFPttMSWxJkqP7mIb1hF9ihv
1l7QrvNRJoBpPJUI3odXMlIqtqr/bBU7L9vRpUM9b50JZNqzMvaC4iIzmQe5oI9LMp9IV14Y7iVI
yddlkaeSVhvWl1XSGwUKnIt7TDtRZcCnzLxssgidqjKOfDsJy3FMsH+b9SCrQh7z5jW4TTY6Vwd5
OKfVJdDF7j+19Vd/FwjLz2vrf7XNPCZIwaHn4pvH6x+Bi8ugcr0Tuu55vLBzBg5BjQ3FN2yLA1r1
rb6Gvz3CWIiBIDEgVXeHvtXX0H0PpjHlX3faAaP5FYJ0aOG+r4JBGwn0Bd21/sFfJDu0i/zo8XqR
R4oOSuGzHizLZadxE+o9CvyDcAQO7jlYK4OLTRnuQ6hr+kN9cyh0Oqh4BlTWsHTMaQu1UDnXx6Wt
LhXUSO5QLBGd7WBJ70A4LuIK6qmcDHnSQYUl/fHdoqtbruCZrQdsYa3R+iKEugyZQAu5QD2ayQJE
sF6Q0umdg2puolGQdGSo0CcMpeo0jHm5GnMwMrdginfqGBfU5esCeVAlQnSmClwgAuk383zwaejQ
bJliBrQnfkxLKGtek8xBZMvMqPuE81wGp51W9oMeM1hsAzEYKnYoqcET1CfMVlQDTQvtCMk69BJu
o05vwEsalrTtcr9NTUh5Lspx+tRTA2ZuWb1jDbgOTo7raODdulH0qsnqLGFjC3ksKscV6eudyvw2
xtYFAqzPtF0yIECcpHU2vMF+9tbrlq1j3uXATFwN4zaYq2TwIE2M4Rkf6CyihsZdiS9nq64arz4p
e3DlatfvegbGEPOaTXQwITuOLofe21KE0ypr91HefMZA74w3bpByYLeaTZ61pzmv9gZP+77uPvmz
veSy3GBN3xR8AOeNbTKUn1E5gG9eNq/KZhGsUknZ+OsxtJedixIyjVtNg3cG7C6fR1c8sselHvs4
MgSnmn+uUJ0GJd2TsU/HOloHzRKj2u4yZc954T50dgGyECWNh9KKyf1Sm7NoBiYbLvvKBhs74XfL
WO8GDMW8qfaAZdzoccWl3Ous3lvCTxZIXNBzcAxG/rqh/kcc6lWk3K4h7lNeRzo9QJ8z/jroUAyZ
YR3R6RQN1ome+/sey2Ru9b6j+KKdx9gt3ptQkm2pDwj3IHYWZmvRwYeLBM/aWx5YsMbLd+Div6l9
eemkt8qa8BS21a1wb/a+HkrQcNDpGEyfBphEzCuUAFU8zYblGNTzuJPuNGfg/CgwkCa5ra1pwWLp
bjuGLwc+XXZzwUWWD+EFC7u1oqPc0yzYzSE2Z13p6y3E+FYKhWuCGpBCZhFO7ZlPw9MRwSPV82Bb
DtaLWzo2SWP5zZxPe38ySWAIGKj5xdSCMDw1KhnKkiWkbT9CQQ6PH6FJ02RraGaYVx7JPi5duRv5
JFeR6V8XYwYWIAHTP3A2xfUCVAH6RgQxAYs92U1xM3hViiXaZUFwGXTQdeEFBur8CRAfND/Xjbe2
gUmaQdcbkIu92LNMr8Ab3Tndr4ssj0Nwhn1oF0jh6QC0MHaC9/a8zeQcV4E9Ad2oi+VsT0qjzoKs
OCWtt0bkoA22+wZjJcbWXDeBATAWL4HukjHR2Qw3y9GLsIy2tdMENHFNRHWQxbJlcrGn+7j2MY+x
DKF4U82pUWUvCnDvDK7fOwaF0IzNEHtm2feI7KZC3VACjRBehDdZU4ViUhJECz1c0gq/dZwee2BA
RV5frsq5amJfjTv4Y0OzGAKIAMYrm5g3VZ/gNuvFqJp2pfv5tG7RKChRZ0XRvhloT2Mpp9c5DeF5
R0pUQPSHqDjLSrg1sjUF8G79BnzkKuZKcjCcvfF0qUl5IkOwVP+ji9zpIoce+H+T+782Kj+R+WHc
98wP6f3w9/9AWKcBNGVBZv0ujRDYXMf9CDICgf0XBA59k0ZANPFB/PAppGLoATxsvvia+UE1uZPa
ofMLtlzC7mr2K5kf1NqHmR8auzg0dvlgpFGYCtCPHzM/ynrbFx2tz6fOZ6tqgO6NoAkGsQTjRrKu
P8SQSfRQV5zBRfgnfmkQCNGKFdsy8uv3ymR2RyMfeCch7Svd02ATTr3dj0XW3DQuM2tWDupUlgya
gg6VZNxwbyRAGbzp3EL1fAYCbfDB86lboQyHUQyVdpksVVbti7zhN5EnL+epBN8cIe8YA+9YLxE1
b1w0hx/KgXWvoJGg3zkr2bboq7oVrAcpGIVz/Zb0vgPDzeLbOuzL96FfVps8tDypmsxeDYT7qfQj
Bcmcj2umx+6kl0NzMeoKbC7lVrnKm2QYUTCcSQ86Ga5rqN+CE1RlyzytXF30a7QAL7kNcq7lXgYl
NNG0ma26MyYbyLs5muQrqbknoIyzrVgcuH/jPoKqAvJiHsgpWNXlGDEQWocGutdCnJfqhHoVSO6q
L+dP/8Peue7GjmNZ+lXmBVQQJer2Z4CRFIqLHeH7Lf8Idh4fUVeKpCSSevpZOlmZ5cyczkYC3T8K
0yigUag+thUhkdx7rW9tNcCq+p0HzTMRpXkLdee/WycKOHofQE8VWvWTnUP7AG1qfQcqGLTp4NXu
VaUhtNYVSfbluFQfeJLqDETG+l4qtn5CsH2VjigwjPbkRFzlPQmXTAdyPDijrmDskxkChY2dq4pM
9rrlZsyDKQHuZ3rudGmtq7pQ/YSqSiw9LJVWvNCo7o5dQp78VrDD6Aibosxb0iCW0yFsVPgQsxFs
izMlT6MrwosBXpNjI03c1JsC/lgqF+b50iUfTqSdE8q+KB0hfzUxcXI5LWa/OI4yO90JWBimrMfv
kcPVEZzbcB+SWB0Ddw1/qlYS5WsSNU+mbAEGNbSBdi+aN6guPNNrZK9Vu/K3dTbOFR5e8IXRoG+a
Spav8drrp6GR3Q7dYf2Ak3i8ZUsnsyHxoy4fKEXVoxQl6GcTBtzEBCqvpNURKL8gPHiL95mES0o7
/xQZ7d/ZUAJQcnlIPkc+roWoXQUFUMHz0VDB/2cv/rEX+3/N2SKD+s8U4J+34+1Hf9uOsX0SKMoh
jBP6Y/f813aMUa1xCAIg8jGxF57lb9sxYFvkKaAd+y5xASVt+vK/GjEQs//8ZT8I3b/Th/15N45d
6HQhZA/quyEs1N/vxlCwe2OolTfWWUIUcN5MUM0NQ9wcw5kNNzUNzzVDNRyi+ivXMEBhioJwrdx7
v6T3rZw/uTuK1KB2bBagYqglF3++bmHHOagxO9SaMWrO1YtQMKAKhR907Xa2S33Up2gQi7KKrhXq
Vm6duxB1bGSHlwCFUIz6NqYxVOs4Rd2CnZbnzHEgsaIihub3jBWAms4FW9tdZov6ERW0iRYUaaip
w3jdB6ixdV09BQJODT7RrpP6I0E1XiZtMUn/J7/q9guq9aEMAS0mVwsVlxLVfAJ+MEF1X7ERNXmT
+lycJap/MNUHRsglQZXrtPymIc2Fo1tY5iQX6B6YuwD5VbeMzedK22zZugx0Gz66DunBx0y+K5ls
/ivaEjbPpxV9SqkjiKf0pWmWo4ODYkE/w6p17zRN3qPPCUf5YJVVaWnqmwqdENxnGAnhU6D6w4pO
qY+njwGdkxMPF4ZOakFHFazzqZf2MAuFIwF7VjNeMFd4t5Ybz0bvo601i9GjTVuzRjt9brf2jVhx
Jcr23ef0PkF/x2qAIWjsoMGhTfD6fK2Wo1wHcILOfZOYI0GnSDfXD51jOECgFegly9bQlG3tZdSL
M8A7XYRb69nZucw5utHoR1sqzD7eGtXKjC+eN7K0Rw+LDQ29jvzR2Sqb6HVX/uh4G1iPx4lL2dzQ
dYW919Bw8PcL5qsXCdG4+wZbscPdPRdzh1p4vG+hLp8GCPKZEi36AwAeZxOsS75Y2LGdgYGaDJWX
l/7a3HvE27ce9kn4eodmICqPSRLv8JHWbPAgrpJhjtJmjMRuit0mmyNND+UCm1PhJKypFfkERhAE
XNgW6zyNGR+Fl+pKPeEognkZzpuA6N3VsR3ztfmugxKupOM9Ol75M4/9PLb0ZvWCgsr2AkNY561e
MtqVnwC+zzFIY0fj585ynpYd/u2ciXFG1R1C8+35ncf7Zz1PNfoZNJMlQKZsZbTNm5F+VNUE01du
zKMSc65ocqnlUqWRab4lzmzQCMx9tiwA6GHtfKIE+mmw3hNoqE9cP0sn7ioYuX4H88ZCau99HMwD
wPGxLet0Gclh7GTux/XNwvpT3Otnauz3OXJPTRKfKGd1YZx5B8DtuV69XdJ34mJLLYp+6Rh2HCc8
8658GEbo+BVsdbRtkIln6oMMIMOrblZ8y6L/5vAYDZnRMo9YNRRNa46l0+0bN6mzZF3eVg4IvZvM
Te1GH2wxH4ZCcpWmx3MbhQc/XAL8ZHeoYgmpVXjwdOG6CN/bl9x7nQQ8AmxTmVAQbatZpXNYv9rK
xy936M91KUBwAxpK5unDmWWuvNBmpnRzMZQvfgXm3iYKv2B2Mwru0p8dLwM6AqhXjo9M+33uNtbu
TIj7bsry1d9413IsIzxffiFaR6RJorFE6xYT7jmWpdSxwuX533vXQx1SVkk6AzSv21rDtRDHul5D
XNtyGmN1Y3pY8nadU8gdR83cC5uW58F1Tzjz17RzkiStHQuR2zXXLXMfdDVdBQN7JDZy4V+F+SCb
Be6H9vPQONf1HJN0sO2TZDSAZTVGeReN3fzAWDsUUqMqzRxe0nQRk4umdWFHOtUF6xYKuzJ29u5q
AVQMIIcHuICFmb0TYhR3Y69QpBLT3dV8qf+/7Au/1hMBrJG/agm/Jqc+f2SRtgjNLz/1awVCME5n
myWOXA7c7TjAL/ytIaT/wMQ792vX96UhJBhpCm0WrKJHYvSKv1Yg3pYRAh8FCTdGrhPFyd8oQcif
rPIE0h8JoUjDy8dECLSyX/vBafWxU86zuQzaT3aLLkExc7+J2gwH3XIXOoE9NWYZ2p3rQqWbOF2e
WqqMgO8wiJcv397/A/zaBir/XpdO0AEnmMaMUgjvyQi3q/2SPaIDAJOEzcvFEwO5wOGG1ThHPGQZ
AEaepIum81u0jE4NuyqeRCYa2cLpWlVEM/S9w7dkmtwb/A4GRaXryNMaODHZ2zAoP4l1iCn++oo9
4Kx/umII/XGyAQwYM/uHCo7WEUNHb6eLb4KqwuJdu6eFgpwopsjyAO20gadXR2WcYhfcfNXW9ff9
Ii3J5cKnb8woBXnLGbHL4i0oSzr1KGRSyM2wgSresNt2TsCgJkzlGMCXPCsmrtpOB2ZXK+zdtWRL
v//rT/Xn2wAdy41wI0I8G/6PD/3lNkTWqbQzduoyTGXyzKuYeCltPTwaUKrMrTYyeRjRtb/+9Z/d
nrWvbC4G6oPbQDmO+Nv2f7bL+vJnA9dUdFTVcBnilVxIy2YovzKr45I9//VfwvL5019KXM+NYMUQ
yCF/eM7GgdpVSMYv8ejSd6G57PYlBAYvbUe2c1HDgAdwbcwRggl0/589NNtD8fsPigfFQ54PGgym
E//xz0eRX+MI7etLJNrgvW/m4L3ttmsI1l7tQgnsy7q49Xv0vcAYRcujz6lL1FEnll6b0Jdu5usG
FksTDf2TL0cP6SCo5Z+jswAfcFbEEKCfUnkI/BCn0l9/e9tg7D9ePyh8hLdCTInBWt3spS83yg3B
agVB6SAvVfbvtZzgNhOnnWBB+9YO1Umzuv2o4mS8NqtgRcipqTOPLNH3CVY5zyyroozyZvmspR99
W4KRRae/vkga/OkmgxjAQwTgCIoaVucmhX25SrThtQuB3T83VIxlEm8l4roHIOcnxbTMcyaNcO+W
3gZzyhiLMkkGpBDlCORj9DII6/392AW9SaNOVy+66fnRqmlKx0CMT6FCkK9E9ZHNvGlqqMp+o9Oy
UcNFA5K+Ec7q7yrIMZCG13LoMw/l2SEIp+7ea6rbyg6+2Yp7cZlK8Th5vYOjf/HwRdbWw95A5xWO
lo6b644F8VvpzvTEQvi+a2WWJNMuo3D0O1sfnVjaPtU2XnOiYVKtjfkZpeb0MLtOBEuqn6KiROkJ
mtzzHgUjut2XkQMZeWVt+YHhIYAv60E4PyG9Akl+VN4RcMV4JCLpvtXLCEIDVGn7UCeliVBy0Ook
SzlnFt/DnlAvuRG6NzuqpSgIgdO+6/D+BCABuooR2PRYueuVL/N5TIDOO2DSCeHTAUeNpxFKg1sX
A3B/Nb2L0IxMxofAn4L9nDSOV6iwX9/jkMudck2zFksbV4VjjPvuqU5/V9U4BtnqTajm0E0sVWGm
hmNxaA3UHOxtITkSf93k94cB/xTdKZUcX3S/oJ9QTeNk0dYCRjwwa0qnrswQOx36vQzbXUVn695p
n1C8WEq6XQrhUkyFP+lE7Y0foc9t17Ur72Ytpr5PbY1OWX5jYBK89U1px0SwBBOJrZz/7Nm+meC8
zdM8j+5laqe+NaekBn6/oKgtj72s6zFFTok/uJHjHxvr+zMQ56Qrwea4icHt6uM4H8oS5+HUtVrs
whbBVfiAE0EoQUBh4IfWRmARIKAm03WoJh9PlC45gd064ywsQoc15c2CpRNWmYhHSFXEb1VfDF0t
k7QTOLzKnVnqMHNKpNXBBZXuQPE6DuAkGSguXRa6i7p+p9B/tQU4u34FLxpgxxy8Fo1RzyTkwgWB
RHWraqcHxlnV8XdnXqLazV3uTfuaxnN8CZDLK0+DD6A4aLLBKLHag3Kxu7HdCBquR/O5rKJIpEKb
abuwtwdXqX7MAs92dRaZwHYAi0XtZLit3osz9ivJkVVu0Su0vevcABlx0ElMw/DS9H3SH32ZTN2u
ZVN4jzbR94vGQYT0imkG4CaNmMemfSmXcXjAYeyfmmr1ALWNuIIdB+Cz7mJi1iSLGzvqcx9bPNoO
lorMS0KQlYMc2+VV6VcAn4YFt7OOFOqTYW389bNrMUY3j3EBfe7bngn07zU9VNDWwwyEnvDzmtdl
vs4lKEFHyxE+Wakbmvk1MmgwtpvVuXLLjhZkLKsAl5sgnEgsW/kReJauIHFQptPt36UkqZMBj0+F
dDFgYmcFWl07P6EPhdST1lhH3oWsQw3vLl6o4z/aTnvzJRwTC24bZPY5mAccSZWKWvxA0gP9L8qa
keFtJd3ATgK8oymUDtb6ikzV9EgbL3gPDLgWiMl4eIt5MJG/U+Fa4+Jn0vR554tWZTHsQxBu4q3T
GpVFUzXLgwpC/TFK5h+WSFflLm4D10uHuMTvCTremGKQC7msZvTpnZoC8kgmB/9Ch47a4nY2MrvF
65v6AKnI08chqpR3UztRgjZMbA9n0wgFb0IxdWssneLMFRr3hukBF8YVNt0rnGDJsx/D89j12CXl
pkIYfpxUUnq3jZzb9t6LB3iqhkJDOk9m2opPJAxug9YJzY7rHn8aEOcKusrrpy1ZE20ffrt0jf0J
1zX25II8KD7FLAJ8Vazl7ZolLVSAbOyqtr4bZIQlL2dUBRX+f9hTvWlgNwK5Nzmk/shc3G4tzXzu
HTaC3nNnYQrjRq6/s4vwtk0DiynDJ8IGYhIkKTIxDf1z6fnJKV5q2NcxAzkHDL4K3/Xg4zKMbOy9
PxlXXVUoc5srPg5tA/2e6L0aXHIRSSXeKIJdIkWWu/ZOPK6S+apkvFpyKyOhUeAi3zx6+FozNxL2
57Zrg1t4Qy4/CNcu7Qtog0oBrXT67wicb3tILTqWow+I/V3tWaaKMeyTF2eDcHs9VvB2KLY5KzW7
r/mkrpK+bUBoetLDHIEOYxLShXnJs2ycpdp13oBlsjqlnxzpwIn47LEh21NM8Egh6YQde9cEDr5R
s6zLDoeMFldEAq3KyqSbFpy0/uKi9BbNTzJZkkfHokyHTDhJ8m1SiDbBxSLRcqy1h19lEGZADlJX
YXUccVugh7ZJWKx8WaazsVH30CywgOJIHWhvAKauOsTNaV2i1v3YtZyfESSh187kUr5jYuiXq8pq
gPgxxEX2iEpEfXOTAdsItk6woS1TGlaCXmKBU8CKh64SpH4lfPVjOHiowOzTOPlOgl+mSrljkdNW
J6cc9QerXGfJukiF7bFOXHJnlFOuewmFst7V64yHtPbgh9+atluDC6DMrkMaZHHDMyWMmsyiulE7
zUbcNR0PNVTCNUKSIFaq24G2NBIEgRdLeHUCT39LTYXANbhelZXwPsSLDix5bJjEs4aTLnnGs96r
2wFEBDZYb0xAaiDgplMzv3nxrKF/tO0SPQXeIHSug2qiZ1oCC7yH3ZZIHO54oncjYjaiQONgzXXt
Ty2/juTI/FvPuF2IsQg8wecyxqnOrYTNlSPpgz0D1dg8nTvwgWgjk7YqFItblmvjukcrKNa9BcBe
p7Rk0flHVfpfHRs9//qSzD/mRr/GRv/3v1+4NEAN/h877I8z7+Z++PwqwfxC5W0/95ugkiBFilk4
FL0pEsrbuPnfBBX3H2GAl/1EwOtg6Hxx2GHpUBxQsFu8MME/8dDS/Cqo/DnW9jcElTD4fXMUB5if
AknHR38Ey97f9JnftR1kCWTv8L6/WQN28kEW0wU6gGkHeNwNLxZMyk+bsjsjGInyyacHF9BsPU43
DJzW0DU5ZMi7gTjZ7JOTVuN7O9O3UnVZO2BbWQlYLXpYGXDQ1uE2Y1H1pmx3t5Rluwv7/h0TYsKM
MgSvym4es5Xo7qq3nZd22D+gT07DC/fZ1Tzz+Bpb/23MtgEZmyW7YtQI1sMHRJ/CL8ktM/xmlOBg
sDpfNVnClA/hTRxAxfbmFvQPlP+bOeTfQs4bgEcMsQAWhQjqteQYWCQqpujol0hJWfOJWQ5naN/b
TIBHjSR73nTVnofzVYhoA4DA8Cbg0alDkZUmLHjyHTQyfPpJs7BQCxoUSSDR6iS+Re4CyA/sH91e
Gt0UAMbQgwW6RjPcoe6RzkuyxaX4ik44aK6ZXFE6j/bKB0h0HIJOIES3koKFSV84TfITqvTbYJmv
KZJ6l1HcudwvesxYsRG5wajkYvbNvd146a3N8xG/9wnL6s55BZ/8Aj2rCOcZGY9FBwe/6z9qOz+N
oA/zfoVDQExzsQu+OtHOd64pEeBvw/5ZUFDpKp7SKQZI74toueDYLUoMV0mBFOrMzssDQ24A/70u
akyJyCcxPM+4jFLAD2lrx6RU831QQyySMQG1ZK/EgvuAngatjRt3Obexm8I5uK9jfqV1+Q19MIDy
MHykPLx34H9mzhReJz2HyhZELGOjgNEv2b2DoTJBM9HrgGOIjRHNI8j5n2O3xrnT3/Ws/dYM8rlK
0HWFXqCzCh/qAEVIQxCH0lVyU2VgXAufTgY1MEby8LotxnqGS7/ZYy2GnCyH1kOeAoKS3Xlq/oyD
YMxpCCXfjcZXzvtdgpEk1yzAty06VWc/0l6DISr1lTQwmTDgYAW/nkLiGc+rlU9ibe/LcY4zkKwy
5TWm/tQGLVM/DwgGSH7lctNdkx4nTqxe6zC6xlzM+2HhaCbqpM8csq77fkAEYSgl0EL06BBDvZ/G
QTzEC258oJGKBpDozuW3cnHQbCwBrLoYAZzyoH2kGEhZHqPWidMAD30KhbcwK5JukBZo6lWtwkgH
qZEKgi/mrPa98leVBcqpsg7faDo58jQtCCa0Iep6mIRkg9sQuN3Duul3tr0HBEswcyVdqvUd5/37
tISPEAQe247ks4lv4fy2yOTAPtUeHBy/dp7BdAzp1EU7xN4LZpfwhGkZ6BLIFOC2w4kCe/KO+2pP
VIGiH0eaojnwc8+hn55R5851zsadhh3MswHRmfUdwN/BjlOQcfRkuF2oUMBDRKmVfIa1ox+QpORw
ciayL70KMJ0f4noW4Ox6xhOI//271xmL9C0K3RYaahp3zr2Y3U/V45GgYV+feBQ9jVJcVMeW1CP0
cxzdm8jRhWpMmDpeR3dIyGAcCWkK5q7yuiTu3gwUdxvf+JUY8KHbAU8Tur832ne84A72YLSiCcw2
SeFqV4eShubAiX0XYc33CbZG2taFgHsE3o6e14ndqA6xlE36zW3tP0AE0mlF+a1Q7r6R9HFcsVdy
8kAq4WV8jWXq8ui9qsbTGDLQybTOde2GaeDOT064kqxsarHrmqVJZYCHulXl2xKub3IS90zR6lB1
zmFsyLzZ1C0UiflhjEmfyxb313d4HvtIKeioHNKqlx/gVrBVwO5kkFbkuq8E61OPqkc4fM+tN71I
AXOza+cXmqzugXia5K7rsatVNRjugzYAWlzXp7wCuwOL9ihV8zCEPqJTMPzLlrzp1rgY8NOgC0sa
aOyYt+OPIVQN73kJ77Q6reWrrq8o8++GBtVuED43Tv9U+z1uzTDtw4FfvJErNDdEHSD2fBJs9CgZ
k1uIDFjaFFN/4DJ0aYRGcddF9ZzWlOY80dcKsdsl8Q6RQQrb1Ha3WvIAj/qKcYvCrppfogmmmium
k5guC7DoKZg3wre6pdYHoMyTeu8J2SC5Xb9gnMO+62RzPTjY/ldHnhMbOcVi5xaajmlQQSMfqMYY
d6tElTtWpyCJnUyFMVtTwqtEpHb2vQM1/DOue3bWwwR6rsKOHb00vNd7OdWoGycIGRfC3DpjCvc5
smsI13Pa1XWZcexfp3JaMb/El/zGXR2kOYCBHxdQHhiQFMfvM7V2vxrjYT+OxQ6HRwMWrCr6gJwB
6h+xG53CEo9OTD2kGJ01dyT1n+toxA6xiCqlyjkwQS+UquowMPfTt4iH2OoDR06TWmYO1nXyPo5y
r3Xx0XGNyic8b033s6nbIUUWce8hDJBOkDKgq4WvzPQIBJOpwegIthNE8RQaFwYLOdvcrvCq2mjw
j8k9EVret2V0cBztweeObvzRlFk99wSCqvuErx+nOOk+R9OcoHZGxQg0Qapw36CTyJEOHYrBINls
pTti+BQMTCL064DMD7I1DwG1edgFT30iboFqT2m4tkdNw0LW3S1CAX2qAI+QaXyMOP0Zm+vtlOgh
6xgegToU98SRBTY4stcU1nBC4HAwgMIIKR2GcMIkqaa/iRJp07ZksMyT1u6kmfA8IHaQs3BliI+q
XW9gnI8hRevNvfdVeYD5NHjCusHmHIcXFLmvUkL7jroo472zI7XJAh2/4WgpFu3dY6bSFVbuIcKQ
klRo9jSuasyaGog1wVHbItxTTldlx1+CkbzqEppJMEQvyjNnDsYGWA0Aw8YBMJQE1XNv3SEjTndc
65Ok8myqqhi1h6kIdXzHghFntBM+zeNyXjG2wB3qj44GJ9ESRNx8e72YeD6g0Z12gwnPPYmHLOyx
ETqYRBbUYS4Cemi5d63d9WqWvp9VAcDrcA1fGt33tz5mVOXVFDubYuXlC0MQA0QOgqHUw4C5frDZ
CHduhzGCB0U9nku3+Yg0apjYzLfRqPx9AiNsXyVKXfcC75cXvsZYvi0ghkBr25XOPvmR1vB+JDdA
biPFEU7OCVBqvw8ZPyY/sh7dj9zH+iMD8t/StP37tWMuepf/uB3Lvrxp+c8t2fazv7ZkGDOMRgW7
Y0JAPmN+/JeWDK+RoCSAn/tb6PtfcSeyxccTvGw7gg2+odL/aslgBMJHRwoKJhOo6b/jccNa+4Nf
hWg5PD7MM4EVi//QP7RkSR+tybAEyw3IZLgRmRTcPXWG0NOA6HWTNcCLbVMhrQj2IgYQkjdBv6Qa
XAYbHDfFvvdoQGy0sXlYQHDYEgjTiAYihVABxaleIeRPz7q3lwj8B1YNEkyYDyZAhmBOxykcAfCb
jRlZO532SNzqDScpo8TssaK++3E1ZVoJcEIbfgJVw9vJDUlZY1rMTYOCdsNVEsXe7AawqI7aHTKR
gFpAt1D0HyndgBdYxpg+tmKco8bBtEExEnQMAN182nAZue2wtf4I0Zc0G1ATkOhn0YATXsDahBAN
U1jdR9/EUBBRlEEafw0ruo8jZHVKDHljG7rjA3zzNpgHfB1SOcB77Ab6IH/9YXn50YMAcjcUKAAu
UG9wUE/bfQtaCEHhoSAbQCQXhCwRRfpWuRQRVFBGI0eb6W/gEaZ+fIalt17Aq7zXY1BeIbsKbw6J
lxQR3B1QQnLvIaeeUzg7Wb1pgFyZZK91e0UCsbzFySJ9ZD3lVMBhzFZQyjsKEBj5C9/NOhg9uxiD
TQA7YZLo7A3qbN3Y5C1M+SLm9ZiXnWOzCSMMUgTXGCLicJ+sW5e7wVX1Ve3ybh8nenrwgmV91pib
lHN3K2RV555t2EfFqtv2jcvFOyFYG74uqu/vlSTiloVefYyJNNciKf18sR0/QVHFWeRQ2lyXGpw6
DAVzPcsVHfvau+WHiWsnhgLmiOPguXctT8iOMT0+uZi1suxLYBQ/oY2tvtO4Q9WYeBDFJ8yFaeM4
s70HUKPBEbCglk2VhFSvvPNkMVWO6J3Q1bUaxBtclQQzB+eLZAPGy5STKSJ3QQzA50kRBSjAqRkv
dPKmQvQu+mw5oQZIruBEYbIiBsSlg49BCuGSQOSgqFQ5iesc80jcgs8+w0DP+iHyB5iFddieeRLH
V4jCL88J/KxjCFEoZZB890Ao10w58rvxSucAuyM3sa1/8YX/qxW4f7fNHO9q+UtU6f90GEP37f2P
+/gvP/ZlH0coJMQrgUK8JsTfZuv9Jq15eL8fsCPXR5b4F/3s1308+sc2ucUHB0AREUW//3Ufx5sl
MEQ4DDERhOLR+zv7OKT0P+/jOBJwvkSw86Dv/WEfj00lkjlm801TAy6Nu4Se5WCu4qETWTDLZ8hf
OarCFiNho279ZFwJ524GLmzFijp1496SLaYxAYWbKnpC3I4Xm7aQko2XwxwhjE/bGDrM1CiqFlQd
jF03q0Y03JDeAd0lixiK/geKZ6vxLWGQH5wwghcHd63JRk/R02Kc9RSMg8FJY7cHeO7a3G6PNNr7
70harsB98Lhbgm6ZkTY5dttiGLdl4W0LJP5lqTyMP9ZOvC2jcVtQi3QQn98WGd+WW7ctPMidkOKx
Ftsfi7IiWbAt0wDrNd4W7rIt4aWDBIaBzbDrtgUOfvBCtiU/Ye1L7AEWewFzbe5hb3BpdaW3zWLa
tg0QyCJtsJNo5IZ2w7a5VKUzIUAzVd9LzcOfMCNvKQsRgFsHb4CqjilySOR8z1r/IW7cYT6iE3am
uxqzMg4gBjKMfg0PIrBqeAgnN5Epm8toSf0IQ1d8otGNBGXwHZl+fdxeobGfh7bN1364tY26YJ7c
aejYRbjeVTyBW1f65PRhzlfI+NsBiuhuUI/f9ODd11Py9j+VIJIOAXIOf1UJHv755vY/7h6//Nxv
u4cPnDF0MfUHzM2msX/ZPUA6YvgPEu8u6sQtxPZb9A15uRBY5PZaA5SAX4V5RN9c6PUUtSPeOvoD
nfwbwjx2od8xS8AJfUyu24ZM4ilFNfh7WX6aMcwBlIe+nd1ThZLP3nO1//Kl3P4CcP2vr7PT3W0D
+hfYhU/hYfYQNkOseA8szmZbfEWO0F76mC2sxltfJ42rkMNUmLzDfG/wb5mLti8XPDTt3QoOP75s
0NGrrCKvvcNoLkj5SIN4qAfGTMF1FgyeVtntkAIFlYzA6Lz64MC72xKMT8cxRlklmFLBHyYXEoRl
ZLeK6N7U6oA1i1oJo5KHeiJ5QMUJ3teNE7cfnW3fHcyRmcfxiHkarxajc7K1ZjcVcryx1x0jBseS
GPldzhE8ylrnnaDRvhZwp50eHSM804NYxhYIfvMUxQfhK0yfGF6r0D3Cq0QRR0YMgBs+OxCLCE0g
3277z3J0UfD145Ry12D6jZIFaOZrNHQ6jwdUa5iU2aZj5H4YNZx86vQ5ocPjQqoTmKUnaRgmxtXT
S9tbhcyv/lmF9GSpHArRjOeBGZ0nIvJR3ZZBVnL5IGuoqRHl066y/rmvBplNyr/rdFJl6zK/Oo2P
Kg0mLl5Jjqkz3vS9iQQGaiBIjQly/Hbg9CrSku5GivhK14rmEAJPTGGvVplpZoihowd5FiFcHBbr
CwEb5uN2pnx27gMN7fH/sncey5FjWZN+IpRBXKgtgNBkUAT1BkYySWgtLoCn/z9UT9ZUdllXW4/Z
LMamt5VFBskIAPf4cf+80PMHWbiM6E72qjQIjrqsDyzj03PeS1K7SnbsFJRTVWsEskF0FfWfBgsi
l1khKST29QkMvQtQIFxgNIWNw30/0o6tg/29H+3dYpufdQIESc7kGG3x6bA1Dpw0+XYKRIJIYAhr
evchaqxvkUj8DslX0qDWa126j/U2DjRO+hX4QWgMH1qa4iQSPQf8rDzkCR4aAZ4/cdDoBoNztOh6
uRGK6qJFDLeDqzyO2PR9Je8PsRG3G03EF/BzTVDZ0eCXobHJwaGC/LE3RANYMTnpRTdGn8cqYp47
PmdE97xktr5TljCmBh4bZqOxNSAA8rCKs+uyIIYXEcL2ua88Riy8S2HWRx4sN1Fu24CNMbtoEMbH
NOfTI5th40j+Hra9vGZW+AD2OsVcX34JUFrbsVUfsyh/7JJSh2G1Pk+j/rqwle9ecV7hIQlA5LFv
G1rXEDVkdQwLyKogYhhzdqh1Pv0bZKMmRJ4Fcb24WvNgRnLxQNHwKXfz7DHD1nowlym9tQz50DT6
XlnqLzz3hySrcy+v6h+YMZreI3m/GXon2WayR1RJ0mchemA0YY7a+FTCq4a+N6dXRYWFSFHu2yF1
sfileQPxpsDANkrnpNgTaopbV36Xm6a38PmNjHo3VcY1Qn7h262yU0AO1VybzFb1uavsl9gxvxIV
+za3tcYTCKEFCfQxZj3miHdlGk6yT46FObxGA1QO7jn3balt0lq7r5CHpabcgwYKLCV6Ar3x2jkm
h3315EokV9u5xdZ0vXQ9GZwMT8X8YxjxgsV2GmRdn21wfvhZw5jdtbAAHHPb1uPZtqtN27CDNBYy
XIkpvcoF2ZmiKIWKAtC7fSpQ4jah3n11fbzVm+lZ6b7MgU/iaNnsmFIgGWEpkbHdUCa0UgyzomxU
wJBPdkSGtGla3U8jBFXTqfv6nBnGS1EJ5YI5dWOPJRa6PF35CVkl6hk1dzF2/Vy1voMa7TlG8ZQ1
3bbt5YuU+RNnyle1aI07dTCXWx54zbbNm/dG1w5xa/yYQudm1X/d3IVWWDgJgzCuNIAqDkGNPNkW
SwGAAu/YdVTElySKPlK9VXyZDfmpXWZ7UxOy5fdRZ58GiddS512U8UOSVKyGDeU4jN3LgOfjAsSl
2IYKagJZ3M4bE549GIm4BwxKbgXdUC83CsLcg5UaczAT59pEbWWWXOUd7M1uCERvs40roW40ec/u
bRz3o9ZLljag7YyimneyVGN/zGvXi/os4WJPzL1EUNh32Yjpqb/vBBK+pe3SkRB5pYSfCekBb7G0
h9qsXlptukRmax1cMbyg6FcrhzM8//1j99ep4PeHLul46lEgO9OZsgY5//zQtdhy647eDLeVIzeW
Rnj4weKnZuNCTO3571/r11PE+lpkMbBsI3Mx0WBC+PW1OuTlfiVJ3DohQbunZt7Gyr/xpv+7l1j/
/U+2ZSzfeS6HXN7Sw+KT/Pbi8U3Ul/+D3wNfNKYwizPWOrP9+UW6GEEmLaW8NVpo/1eTclbGw9+/
xF/fFv5Uf3oJ69eX6PEXRJqY5K1wLkWzXYoe3u1Nab+n8795pV+N3v/rTfnTK60/yZ/+YiwITQpP
+GUatkJaSXBSPw4FPSabsTguMGr//hdbf/BfD3kaNTs6gy3DsAtA+deXg+M7LW2vSbheLxr7bZsN
bHyai5ffX+b/d6HCVE1Ozf9adX7gaJb0819HjfXL/hg1VlWZDy5MDOzlCBZ/GjWM3yzdYNLQgFvw
sf6ZqNJ+Q0h2CZiwduBtc7hyf6rN7m/8d5U4FXZmZ51C/hOVwv6nIYDfT4A5XT8h2KMZOsx/ukfg
Hp+spumK21Krhbju9IGc5jwkamESj1iR8NM0jsSq7fqzGYu3pVri3aSUFzahMWPwxzxKHNBDtG+x
QTZ1gmDh4CsehH1We61ZITU5dUacrTmljAFlFTwVawpM4jo6K0qYrWlSSJBhddPN/Q/FylZ4sPwB
vB2fIavYwcWNUDnJaRJQtww3vVbAfLVqxcMcXD3hRWsM+pB/s+eW4CdlQu3QfowQMpYim3eq7nwo
ExYa2Wto5tHetvtzuWQNnr049MxGvkpHecz7OffTTLsYZv8ScQPfsU51YPQY1k3EaL8Rmgt6ycw4
PM7RO8e2ateZIzlIanHgct5UAj9KvOgXVbOxnQ7J3aSrx0I1v0Rf7FiEv3eC1bM+Z36rKP7k6Cf8
3fzf7r5Q25fBSA7VNBCuzKKXqrNe3PTDkFVAGP+zc93PVu9u2iV5NqvpMxNOEZBLWgI22LcKPyz7
ebkv4oRNG4kAbKVDtJ2z5ALS8zzUynkxmtBPVTSYWYfKaTZOcUg5O3qmhnoiVXGrmFivcGJGnqkQ
L4km7ZTGVrRLlcHaNlF+HTeDunG6iTAJpBNJcZJr90enQgJR3eKmnoXrz1njHNq61HczT2YHXlLQ
rt0m9Zw7u8yO2yBVi3FjjSHDzKCzrMj5V3vW920kn0LH3ubJcGupA6p8iUVVcZtdK0rQ0boDVzI7
6GaUeVMv2RvLZfYstT0Uitn6ra6EOy600JfVeOJBwry6cHLucR0o7T0bgFvCB4copa/G0tOdSKvH
ohd7V5twXizWY8+qVy2ip65C0Vd1jn4L05UJMYYMiQtJalhesAzUFJjUx9Cun5Vh6IK8k4+KS4Kb
L803S640G2PMLrOizxuD2dgjO/JddErhJ1V9TRXITSaIRffzpHtOJa+GaZSbycG6Zssi4lppnSCt
Et0PM3cve1YlmdFO732IvKx2dRgYLQBrI0ufhyyw8+TR6BlzHbrDNlxrgRAjDLMegjmEaTbjuPL3
k6YTE6nU0xoCELgJAnznRrAoyh0DdbyZywaWmV6cmTRKb4bb4ieGwQI7WlZP6ntG7mj9rF2EcVTm
70xlXFei9r6yuw2uoTRgkNw4onoi0PGNdMOuyRbf7aK+up17pcr8XM/zBde07WEdijcWK31vLjCQ
DN17LpaCqergVMtRDO5qPcLAwWcvxasr/NaZv/WufQM8eZJVf5fXyjUGgGxLXVywZNO14Y6Tr6kj
eM1yRegP2YoRi1kl9f13TZyD7L7Ug3yy35OmfUMUVlm6w0zVK6aKSTrWEa0FRwHBS47V4oW7Lgz4
ueWEmlufveYw7bIGwYbinBD7ARl3w7CNl/GI22D09Ta6t+LpncYjxm2RibUQIycQAumqE83eQuwD
cwCgL54uPV5ExnHoPVMsAzgDUO5Ks+Wiq7gkHOs6Z7baVFN4rnKj9MUQTr4N0BQk+k1Vuxc3FHtj
mh3fKsnXDHOOfaw+k9pqtqy08xeU0oTN13ilgGz0h3y9sM302bYMrAejxL/pSkAVevwxlQB+BpGw
3y+P3NDvZ1GN2N4LDH/6cFeLUfcSk6UZ54kd1pAVmGoIz7SA4DjlMQ5xSGVNDotjvGOnVQLIL7ww
MQBIVC1EvCjna8fxYlqps1/K4aOrsKm5dQuLt9Rj30obxY8W5ZsCFp4XcZuwo1LuSHt8MItCQc5p
BGDqUPwcfwD+tqU8qxB/vbbiFOMUoU/8EU7yjLnK0Dmox3hpg4p7Nkq2uk0Ttd/mffUxuJQJ1XyQ
4CVu5z7C8cZbjqJTtL40jIyUiRptkeD4m+LvORiG3LuRIBwFD4GLxoTySIQ4nrM7yTMR/DtUgcTE
l2LaJi44BRL04KyVDqSzsIWBkqqVBRwDSJ9ZMSqPtBZ+Q1VKGCBQOPp5R6Tlh1mZt2lUf00a364T
6Ytl9QDgIB551lBesWRuwNgv1zz/ObDB1lU1gM153fpi1tddGWirJk/zQ7c0j4bOhZ+XxrMCFKJP
+h+yybdumD7ysFdPmDFLxAz30CXRDaDMB3fJ9obSoTtAPVhBgQPFZazRTANKIpmBaoVsydYcA922
P5OpwnvTVqSvVjrQXDn3Wlg0G9OMye4vU7mpa3zpYz6EB7Wd3y2FD0Mfj/qWSsCHqbQzzwmVI3Pj
e5vaQZQpGDTTGvBGxdfb9W2VjRojtBptFA2BKIU4BZmC6AYb3bSxbtXBeqqEBSUqn/ZLZHynqrS5
x8JO1hGFNs5Ukti0Wcr1ZBw9tZr5+KVavwYTXa9ZtFcLBLqLUW6zQNfzWoW7djwbUZDaMGEsJX1X
S/0aTAIptSRMfeTCU7ISleAx7OYFJXEwCHwNarZPo34i38vEqPYIgI0eln61sphgz/+IIzyujRO1
25FyGIw048iiFToDsXDuqtYzRXCaF0VIfkWjPMStfGxdoIFl4vqVzGEoa8DWB6fHnlo1cEXjC0vd
ZgM07zCs0lWhuo8CLStCFvSNVd4qani8jcX1ZKB9TZGSY5EqDwonJy5IBDKJUlajmE2QKqJVQlPR
0hpLlT41cl+yxtVZW9+WStWkgfxmr0Jc5mbf9irN6bn+OaLVERen6QD1rkPFa1Y5r0TXC0ujDABp
CH+ysueoKKBPTAgXDnogjjraKj+obbjiYCAARbBA14b0WK+UnRqLwFlPKsrFkBkd9MZIMfERy/RB
ax2o7miSdkFBno5KKVz5PHHmAuSz1F5fV+WmWUVNUrAY2Vahs1klT2cVP2k4PDmooY7DmitbBVKu
u29rlUz5zEybKDO2KmpqPXLpxq12l69CK5+Fa8NK8BOZuHCHrL5YqyxLJNTgeIlU27Tl9bSKty0q
rub0n5T+UbiJvtusQm8xqI9LnhynOX/QVylYoglXaMPjuPDhJ6/kuatwzN74qkZJLldJGWgp6KFV
Zu6t9MvlbByPFi4tlOilaI/4P1IvAqqqo1Xj0wp65Ot61bE7Tnkk3Dhnrhp37Ep7RxUTPyQCuIoQ
bq2KuF1Nr0bBmW/VyxOEcyirhxAhHRzHe4iwnvbDjUBoL1bFPUJ6JxzJk9Jo9vMqyiPOT2ZBVgy5
fkK2r4V7cJHxGzW9BcHgz6u+PxsxdYr5BjrMVcsCYED4zE0VF0GXatiifl8U5OVivcy/rw8ahUK6
u9zs4XHPjoUHvlb+uyz/R6BERyT61zPobf7++dX+dQRdv+qPEXTdTunCtCzoXYADUQn+2JWz03Lo
nTBYe5v/MDb93JW7vxFPMcQ6HJpCUzW+6ucU6kCH1EwSdDrMhd/rMf6DbRcD7S8qBVMoKGlNc3Sb
GXTVKv5pVz7OchS9sOVNP9EIKPrsuRrne5tw2gZl8ob+0/SzSsaSs6LxYBBe90dDCS+OLb+VWN3i
zBLeYhAbJcO9Ucvc8QqbA3nShh9tRGHnlNutNw7lvXAJcqhuFe7kCPy5wOUd1/YHw9fFGpfnuOhJ
t+Y9T5eaW1tFCD6z66NRdwXfMWZh5JZbzC4XXitgnqTiQQ7cKwcA+6kzpD7Ys+s+405t0R3EJPcj
7Zxr0YZ3qphuYvKElY10O47znR6r6lY4xojuN6636GrjMDJ4ts5SoMhRpLF4LUvjGw1FnigLnBDA
J+GnL7ZuT7FjlvTOZphrY2Nk4c7KckIERuHCdRUPDJbeSA3cYBiboe7wbVKIw6JmPixaKlilx4xT
6vJkuj/IUwQtXk2yykd77F8GFfdBncK9FkZC0eQcggUeh5jIzPw1kuYcNXtrG0h9rho/RRo3itV3
nDtEVURbeFGy7FPdvpGJfbZFRBCifaoU82MY5hPdN1S6LQFLWb/ptAPZ4TtqZnGHm9a9w18oTGhl
UKqW1HZ+boV7byXqRzYtqjfBG8WXri1MnfKx0MVr6rh4tTlf9WMptvVA1AJS/0lDUVXW87O1qE8J
yxbqIFNgy+FjPbVnni6nqIVK1+X5F67Rt2lUHmogdFM83cO/3aqW8jIo6Sf+cdMzTfo+2zoC9kQF
EMEPKisZZtQBpAsNfNe8TVeScw2m7SAU31ptIvzz68hh2dYrt1IXyaWKWcetB0c1Yg2WYr9oy+rN
KC1u0h104Hl6F4Pk86U1hH0ier6gxwB6zgltLM9uCw0KJ+pOy60jJM19ZfU/RoVthx4bDyZFU1HC
1L+Eza2mYqTTsnEKKK/B/AvCKVDigYINw2FzR/dx2vNHWkpiGWbcmZCp9fveqjduXWCyLii8Y2pk
uqUD9EzDCp0sr7S5GFxzrwUH1Got+IoJ/QIKFY9VM8d3s2zdQ5itnny7m3Z0RFHXNDBlDI2WbuYh
hgel1N9mKnsXyDPB3rswDtN5A0+gWR5Hk6SNZ2Lq7dDsw0xc2MTxmFMiHOKM6Gguw0UFqk1VEy2g
LNQCAqVB7vBMtEt3x0jbBQrKbtDLNj8mVD5sijHU0G6N12o06dxeuNzymI90KbFGxzizGWyIElH9
C/Jjujg1M0QVxzdTvPzQ1wBQEzkBmZOtSiHIkBVsqicNNx2++mDFObDLO09CcBhJ/EV1nhOzxGpo
hshenET7/sAJ0Wvxp+RTdYuasYUuTdRM6Qgpd7WnjP1RxGV0zrMJNhF9hDPdL8w25y5tb6dmeHQZ
/VsD0SMK5Qer46eqYgOk2iyVw8ZP14RHQ6pqS9bqyQTRSnasIIVrENoOR9cDjQSsPs4ZvZcd/5Wa
hyQFg9qbr7WCIqE3yqY1MjLNzWOd2k91kzB4ig+Q5hUyhn1jUWxtDbTdiCY2SHtJzWN0Unw11D6g
Wtw7ennFmweCLF0k7iT7kbMueeocZDi+cQz3DmihRREBrX2Ll2YsWXsupplLz174PWP90EUIZ0nc
36cDdwFdO6KZnTBTXmUmR2+U0R6TOicimlldYkEFc5hNQZqgBYNNRv+lrOmgym3Sbc+M55G2OZeh
q2wYROa9XhKDjsJ3ZS6o814eldnQ2bzOn8rYpJcZj6vfSrlnLmTxPbsIKVHzSXcS5Ed8/Bzdy0cW
yTQZ15/JAooy0tWCWabdK6X+aMNKJyTMu5Hb4ZY0hhpQGc1tQx7sAoEmtAZWrjwd6v7T1SVWrCLn
s9YVgzS9XI3ITLWqhn9L5fi5EZbbbbuQzP6bXnT9/6UA7/9r9kFu83+ryh+K+qtN3vO/nonWr/t5
JoJ1RiqXDZxm4pswBMr3zzORZv0GhRWmme5ADdJWC/bPMxG2IcMgQAUbewVc/7kXTKdL1jEdCEN4
d1ZP4n+izGvGr6s1TmKI8bjNMTzp1moG+idl3o6ZPCalma8no661tYTbsWk2pRTrW12W0sQA0as9
O3cDhuHCcyHLZImJJWWvaAmyhToqk1OGWOi00Z49w9I/I8yzfuWG762WXeDIF7dUSdLyvVjEH00N
zqNQ6SW2rG/SPOzBC3zMWkmlFARSY2N3SbvpLQnHoNDMq2XoioNS5j0mnCwjOjFZXeyngIrPtaoZ
7Hjdq9TqsxNFF2XQ1XLetiYeE7oymTYKLrXC1VrPoh3qLMb5mJnJlVP14QmKfUYrvEuVkIuB38M0
zKCVmfN2cu04IP6kk7uYMl/jcBY0E3tqBtMSqVx5zdmp1tZUHu14eNCsWMWCIGCEJBiVIqq+z21q
fcqSJ1bDUWyHk/t7SdM3WyYc8cSoFQcZ2uFVLdL5Ef53yLM9vo46gwknTr96ECuvTNLq3YK+tB2t
vAnsLudsNq8ucuySkGEVHkCWVJWjqCf1ykSr3CWxznTfDtZVa9t3Th6lFxwasBfnB1hqpVeJkgZ3
h357qwAbGbal76gCQ3/FaEUrO7lslfvwRGXulRYPxbrqiM3XsQbmEKpGdupD8k47CqsIyHlL21rt
Tcx7N0JqSa5n8CUwWiItjHiA8J1gwrjUj9eO2yAV0KBJTqufV77okFPmPWbLsR1L9yYZZ3i9BAUr
Dnn8EcIbN0QLgpflfo+am13plRtoMHUumOq1Kfh9jPnvTnFtsPnX89yWQqiy+uu9a/2qP+5dQJ8t
XIYUTWN0VgVL5J/3LtpyKaCGKcCu/B8+xD/uXTYMaRNiHfcaW6zegP89z5nYornT2aZNIEX7D+9d
tv2XDMsahnGxStqa6XKeYhT985I7K7impz60z+HUHaO+GcvrXuoz2lAx1vV6OQ4cTiQ3oyIuoump
cldHb+XCdT31afw6Gd0F5tAcxF1JQrgfdrj/g2yJMD+j1+HiyTm1rRsy6kU9ozQJwCs4oUpwIPAY
et/KlVcAN/d0GD7LodKyu54SwQtXw96VE9JjSJUVtKVITZRzFpaO9Jqx2QBDiF4JC8e3YRgn1m2c
z/atWTrc14QMif5byOpVQOJSLR8swFfbsHXpGuo4IvZQ1Lo4eRpE0TG2ZvI5092Yxsas2tOykXIw
UdtrCElHOZj3ZkQ6MLTLJ3XJH5DiyW7H9adOUhOtayCYwpGVnnpOwMZHvJJiWkWcrUF/tqbpacB5
BDZMuVKIXysF55gowRcueE7ABuZG0ZWE2PC4Peuh4fiFlb3pkXnJHDDyKezGWUl+6K79UAziSxVp
sungKXum09/ZButXItoNAXHJvSGqszfUUnalMtmri4vU1HCjK3Lnock1fVuVJDBLKGTIuvo+7hHr
ySsHhUxwGKKUmgU2QxhBVO+qGSUraQPQSp2ZqPW7cD1KLUZMIEPoewqMNV93MlL5bMcO9OtyyxrU
Hyq3GIcnDYQvM9xkdkfm3X2P4upkufapM9yVuUgdnbG4FzuklQ325HYKlR8cPre5OnGDZEnScvKl
kDKoW+KtRbnGS8L6u68Unj8J0eVBKT5l7E6kXMoXPtK9p7ujvbeQIrZ8vO4Eswsn/Orcm6mCEy28
BVlGH1RFgDfWWMSw0R1yAHaocKZPxWTn83mjjah6GXBMkQ7sjz3vYN8NW9znyW4yiR5aalNtllIc
ipH25sZ81rr+TH/0Q0p7g5+o3VMRxfcrwSioVdocIkuht6jn0Rq397MdPtB8cbc02NekRhQIZzz3
6SSZA60Nb4dw2c8EEolIKZ9toyD/ClqVZ5OqnUVj1yYHEggUThCZUgUW1nk5VrV9k8Lc2lYO1st6
KA0f8HLPsCuvzEz7gYv/CO43D9ouubbSmiSVap/wvWuIKkB4Zh4wGhdAILT0ncO03M5uf+O24mVE
p/G51JE75gLTywCqeB4WEJbV/bDUfj/Y+2X15dv2yrYrK3Zm2fioy6XcK4JPZxjVkqk9+cpnfdkN
tv1iSvOia7zDY4XbK2/1A34JIzAc5yoeaeS0RAM3qxBiK5v0JoksjIDZfZFDr4j5bMuYx6pMM5jY
7q0elc3WyvtuJ5kdeegT+G9K64GZFcRDq36HunhTjfyT49qhkYZKoBsiQajoXwSYn7rUdv2iKJ4K
2esb3R0u8wxPILGK12oWJ2Djs4lTAGaUONpisu6M1AGTnHRsCOa4YdGPXVY3G65yOAqD2VxbytRv
lgxmxrh8tIb+2jiusXfVcsK9ad8uw1gGDl3OgWgti18V1YF8x2c4h91BtftLXPY4hGs1Z7KvsGPb
Wcq91ngjCXzpC4BiEozQFiSmDNqBNvG0rku/TNTzONTVJjONr3FBQCK/fp2mOiD0sAInn5XYGBWB
PxbUn1eoVKVQnMlgxZWsdcLYq6E0z8lE+zI0qSlwFGqqDL25l6XVHWfH7jcaMKssKSfep2TbR5j9
ErqnKXeOa/yt8jAX4VtRTlNQUMK00W0EIRiYuV+36adllzYlrOmyMctwGwlj3ltl2xyqWmwzstFB
bFv51qElw+N+uOxY2L+1ODdLzKWRDHfVUMZ3sQIuEOHB9eZOQgvoC3eLoQUyhzmHd/Qg1Vu70Q6w
6K5IG0bbvkidXdfQDCfBHPshnTNHjsM/MvTwbYzH+qgT5vXNemE1N0XlPi7L5XGRBe+NnJWtuUJT
FJZdXgTyzTP78QDDjFWk5ixI5mC0cvcYustJSRZqr7W63YbZcgd7KoAriHHStq6WDm0oHoh0D+N8
Ww/xA6D5mQeilm9ro028IVZaPzX6T6shC1ownewmh3XVrBHWdHQSNVoe3/aJfssyVQ0yxNRdXS8n
ow+vwtwIGOhvRwKEGyNd1/2hxOxst2fXTD+dsvjIu5CNs+2GngVvJ8gV81gZzrwhUod3GzOvp6ry
SRuy9ypTbtljX7JIQU7Q6Y1PW83yWlF/5Yv9HRUqO3JDdPhCBN+SytZA5uprDXsRgTY5h+5QbemQ
HQMcJhAIwuxUOoW6T6c0emriPEhk+GrpdI3qXLqgHb85pb+ahoKk1Z/rkY8ydpvP0NTdDVTBDBZg
/oS7D/kqQc7UsT0saq0GmEOv0etCWoyzU07Y1Bc8U00kAp/Y8BeK1N4ewisnnIudmsxH6mMpbsjw
15jlczG352m1S1gzFoMWRZU39IiieTJz2PO18y2h2HuWrA6QSkEmpF+OMm67oep3HRTEjs2dJyvl
SU1VEKmnAkB+O9iHusve3SH9AJ3mIxuplIHabFYoXDdB7/idxW6ok0hQGW9PgQiZ1t1pWvg8J7hg
t7ouvgyAQJ5u2pckjfifuYEzq10lbb6OEJzdAfwmO05ub5zADqx3tw0nHc/oreNiVoU/1MmN1QDF
YfGmGXxzuhHJ/6anDDlmZxQ93YrucwTRw6+L5qxCI1oPMZrBA4+GhJ0Zg/+YHeNM1dgjKgtLrQ60
xOrYqhkHCZa5Aevt+0EBLGOnJoEOUeyGaloCuvIwxCKEVkbtIJsU0ZZ+Zjaki8HNop0vxdjwqznl
uIlXmo6TJ+RrkXZK0R5sIz7KOf2ONTPZRtK5obdhVy27DnlHd3YtjYTadOUo2UOc4xYhwFr4lF/t
0nQEBwOZhZDah+Gs7RPRh2MlV0IfqIEL1Zg3q3mvKn2FJEpwfrU6ticun4doxviNBv+k1TbVj0RG
unbj7CkK2euUQo99FoSOUd9RK7FyZ5hA5SbBjac8x2NVqXia4EUfM6KtheElcPJGypZGZaaTx3wr
oRkogWDa8qKF4RQSZ3aspMpPkWFSVxXYdW7E+qFStgqNHbjGoM0kTLqiyIYgHKsXaleXTemMDZuA
SIM3mMJeLi8AKKYtbo5vaOTP0GxMNDCN3xS7HHrdIbbFO2nA2ymBphrbiLFx0hfw1blCskxgGJNs
7JW5mnicYMrPVB5sHY803r/1veNsPrgzk3B81bQa4JpaBFNvn8c+uXEH+0oj9e6VXfquuXPQueJK
W+hjoXvog2cLBYr5ig5zyD0kAmuO+rWwm0Q1Vy1vHp09/qbbBrIFhzzgyIwSHucaGVhh+aOVBbUN
seLTiE2PUWdd4ce717NxU/bstc2iknvuu1euNHb2jLG8NLtuj+UfBpXOC5pt7Gcipz5JGznekPag
kBtAJKddV8vesiaBU3aT1aTRzdmDz3gw247lrjOeFWLJXgkUrTDTH5Sao1uwApVzcq4i9Wy68zYv
x7PQkVbxTi1N0LZKdGSX8gwR99DHySuWrcfarVovXfDYtbvJsi9ThPexK85zo78lbH7cTuHOWEQH
bPfLAVflGz/gI5Y/K6C9LNzEKNIn7gpvoqjG52KBlVQ16WmC2RlAdoFjXSzYjGe0E0tjC66+Tym+
Flm+Z7XT4vDp+SS4r7lZQSeMnwuw2P/wIv93oF+Z4/96oL96z77+Os6vX/NznNfJKwv2qwI/GZG8
df35xzhv/Ka6DOvM0JQu/U6D+ClFuozzGlh43eYff40yO79ZpPpUGPUscLmP/UdICsiDf1nPUvDr
/k4kVFUVPMWv4zwiHJ6WpjRvsjGPTkpUNOFlAhKIwU1Psp1ku8xNlGVfQ8KGBvv8IFrmB3NQzH0W
4uMoqKG8lpIdFMU2jkrFB6Y7AUnZM3g6OTTEcBKnlCSLyqPC5u3aZqHlTTm4uiJCOWMKcxfny4RR
yt0MKQBP3FL4Vhydykme0jLfKs5Io5yeDvf92KFhTdZbPrklQIHY3UCq2eWQXRciR1KP7hsqegLV
gizQ6eSjyqLd91D8cSx+oQzcJYZzs+BkJcFxYbjc0eL2okROfSrD6tTE7qGNRXLQXPmS95FPB+Cl
0M1HaF2Th5IbUz9g1Beti145/xxYvm1SNXzlEPs+xAbblLGBv9CPsGrjhJ8ZJoRhYCaEwmNj3nBP
DWwJL2v1E5CGc8ONmydldN0U4r2N+5t+Kb97/tCcXCt/qfCWzWF9LOzM9gtA5VCgArBn3LR0VrRL
CWeZO79dG/Df7BkAlvLitOvmToR+3KeYi+hCbexu2bhzjM96HTC0EKVGVntcvq/ZTGNxxWHONNpl
G83QiaM6/uwAUPhzrZlBqc07S0mOOWLtrgDUXNZCZzkOKzdp26c6jMXGaL/ZXap7K7PcDSokd0gT
urStfSsTpkVSsDfN2k64JCSiRrt5cFoHdcPN95nZYtTp9mAyADuMdBz0NXUB65oU7978NpeU00bi
h212xial9Y6e3uVVtPURheVtUpe7hlAR6uSrrDl0t338bReCAVdm7qbu0nNhz/sMJAdHVK0jjSU5
++HLwo6G0Pk/7J3HkhxH2mVfZV4gYOEeenaTGakzSwsCm7CqQsFDa/30/wlwQAJokG1czGLM2At2
NwtZAhXp4n73nluqbSy7twm71gp38dbpkzdIxXw8rjmnE4BvXukSk+cRR9xiBhrVriVqm/oQZM0d
Pz9qw7R4jAMr6rg7UbTloCM46A4Zq4GvS+aYG2pi01Wy/I3DuE7IsbcU71KRAysomlZBAnEPZSzc
T71+PfNmuJ3c2Nklmjvg1WSQOw7yaBixseZwxsSO18xRqVEZqHD1jXoBPZgJXW1VWB4TMekbRvvj
gTQhI+6qiI6uO847p7eGDYfkFvcjOoLe99uBkzQFhNdcfghDSXExOlLrTJdvp8ZRfpPGV5UN9UqK
Z9oCp/saqu/HXMQc0yp4uQaSsAjqcuPC8FjVtpFwHlErrB4tw9yS4aLgPUt1DM+NpE/eyXUiMQON
KlzaN6OiQ8XRpksiuTF65CA7tPhVlxIQlFHzWndLg24poQbUh9zujJVpuUfNNayjUKnrF4DpluNi
/Uk6FeZVNL4N6AJ7ZUZoOXlIX2IEenNLdwgyVDvrb5WQv0FeD7Zew58d6FTa4XFkVUpSa1dkBAsa
LdZ3fVLhZ5PL7zewM8pIgxMO8R1UrStGmjEVjh1tVvVtOPBT6+BJhSpOMMZ31JG2m8LjjBHP9WXJ
faxHjlisGfS+tTN33IayuTictlmeAcOKaBNfhAXEmJOrcLwNdFhHVvKRI+iu05r7OWGMCiWOAPVQ
b4ATX5quxvjfMRDm+oZrstzbXfNFGdQKWHh7/BKTIH+OWfLFHbOHrInTM37pG0o58X6akbfJCqte
KSb9IDWfJ0o8B7M8dYH7PsKeJxWaHdtkwE0nxh3gi9+TXv+eEATTu78+IZyiXDW/OCLwom9HBOF9
gC1gYYjGby44Enx3RNDxaVHZRMiPbfq7GJFhY+3iP85SzmRb0uBF3wxc1geHbCDKPdNP6lGcfwQ7
cRY9/8+UGf4tDgd8Ph22is2Bw/wZJRAY7ZSUjnUVzppRP6J7p7Q751MmiAdotOG5cSOjS+MmBvQk
e6x2BANudc1Ye4hqACOjscVe7egB53zXbqpDVtSzPzm9sWA/mxgyfxMcByPlRlmkxZzcFij7JQo/
RqtPrH8tWWjjiueVFMQyDpidEWm2Cl8LJ8RLugwNmOmGVNUQvWGegMUyoSU7mfyBWUMogt/Kr9OH
AiYH3o2vUwlqbhhQLKMKMMkIlX7IZ7XXRTe1+cXUJns/4e2JzCjYyiAdNmBHI3jdffkq4/mToikN
MBNmdVHm22Yk1F5kGFZjbY+9hBWwzl91mrB3KQx4SETZY6S0N3kp8+lSUMc3MvkhUT/jBEuDB1G5
t1mhs0n3u3i+Fa39OPTNs+2qjYkE5v2/QX//f+gcYFT212/Ec9H8r/+Tq/f0/VdvR176x9sRDjdH
dQ628ucBnHA/wNJ2QXkBF4HdwWzs24nd/EDEjuQveTuDbW2pV/v2fpQf8D4KZnoIU45r4bX8B4bK
/7AOCJTu5SLhUIuFer98/LuMaQzFH+exF1912Wa2HFofdmb1/N1fzC/4IdL9ecgHoW4xJwBPsejp
Zqb441epAg761mzFV20BDdIvXD1fCmQIqASGTDYx4ON1wWnp7CgwjV0Zxut0Dk6Q9+M7vQxv08jd
SSuMgDXqnMaFZq2FS1gwFZG+1hU8I5kduj68RD0m5E6c9Xm4pfriUs3FaayN66hWRz1OCMH3SkGR
ruB/TdAug44beiS9z4KgDZwELIpwlkg7pN2XyGJDb3LbTlZ10NF0GPD60dFQg5nh2ceBOqpdMIyO
32oNNZyeJLHQzRR307eB5UKaTzQ2OHRzWAaeHUaIGsnbXaQnob0Ju6pMN/jk8K8C6kUIY9a1Vx6S
9UEY6BCcVdwrwKYTmyeqO7IRcLcVNdWG+zTLyvbTStISo822tRPFQOR/XQpKgSv80lk7BYyXLO3a
raR24fOXfhNhdV84CIWW71z2b9/uOOV6oWRE47gRjG8zOXZjZbs3fL3G+GRNymlOciqAmkMbIcZV
W+NNKBaLmJq8k1fbzhFWhvqIQcZ8BvSqUNomJvxt3pkEtTiQr/HwDvPeDXvuCfrQeI8FraQrOzfL
DSM705flGK7TjllepdR06KXVX3ldR0iNv/MzCnTz0nB1Gyc0iokg5MqrooMGtGLjCOa5Ku2HO8An
x1if0o1XCO9OTZZYcTRCCJtI4xUlZLcxMcH6Cd+pomc3s8g9zVnv21U0b+qW9b6RnBRHyluP9tyF
G4dD6K5tU0FZdrDY0Ho0vYmaFdvo94OZg+gYZXOrODZuXC27RHl6QRKHoFVHt2ZhgQTssHna6b6I
8sRXhn7TeMN9S8fGI+AG9wu0GG6biW8Po/2lAB9uZY2fBJV40LVuq6iQ12SRbDziEYnLGXDkLNzY
5eemad/zqH6f4umJ3cGvjf7ojdmWBQQ/zrwzR0h9bu8bXrsXljzPJDlU3b/qVselUNumg+CCxeyo
m95yRmqqeKOAS/iDnRq7kWoZP7H6j5YNSnW2zQ05mQZuN0d8bZjPMpO0/MoL1Ed418nHkl9f09Lf
mrvOJujtrZLuHk/wxzFoNioLKHjTq5XBNG4lqFo5IOHGvpg4XjrODT/jndXhxBmjWXH7C1DVez26
hKaNjhjI2zYFYAim7KTkyMPMiCytCPzB4OUpy6aTx5sIJDXD19ofmeO5NEADMH7W5nadIGp3Ut3m
VXl2+P+99M5Z19+GHndPGpMlsGo6zMYVCVvc2EAH1x3ldGtV61eJlnwqEvGpTLJj1CSnInWPWA9v
ZwjTFLGQzkgvlkn6J62m0+w4e0obuZkwUKsSZ995+E5r7jnhSHRxHo7EFadDNef5kZHw52wKwE+G
eepPCj+5NRoJhs5yFzTwR+aJHvu/X3l/YQ3DKq9LzBw6uTaD//5x5Q0ngXPYTtEXq0RievQmyCBT
4mcMa89tZgyA15iPYV/HKje/i7Jqbqsq0R9c8O6rYhzvOsjSAP79xHOe9bHdQTn7QoWOolANDI6K
mRFzX98WM890Cr65CKxmPcTwQ82ql77jtntE7FcG+906ipsniV1tA47DII0JGyfN10O1bih9Lqle
aIN8J+J6JzG6p1iZm8z5PKXZPVSmIxZw8N7pserk2SmLs9tIb9cO1Do1U7SXI8zvhvJXO0D8DM14
p1C9/EZv7sypI0wU2kc99HhfG0qH0ETwK67HxzgCi+fZCApyktdmRAt1ZS8VvFFy6Usi4018SAZr
Z4GPgdtcHYI8AY/qMkgjprXV8F1YqjxT+gJnL6eZKQXy22V79jVATSWz6WJq4HXW10mc3sHe4FKb
96lv5xCmjVJfBXV9Qxyyp1YBCYom6kdzQjtXY0TjhUPAjIdp5AF1kVTo0lpmiTtRErk3xUfyRX5m
2Gub5oyBdchois+F55z1CvVfedrnQNjzqoSVydVuhGiZiYNWLmtZe44AeEo93eo0GNHZnXyEqSnW
cTMlGzNU18ZsCf8rRNosSWYyjuyeCkKPJw6k9SXFMHP4+0eVC8YP9wKOCDYkHexITKddc0Gp/XAQ
methrHu6I4Mu8o34WMv/Vu/4482DTwn4kQy+61nMNIEi/HTzoDAyt1xP4ae26S60r6Mu2kflXT3Q
LQFuHo721os3f/9TIbL+8HP951ddfu7vDlhdmbSlSevHRZ/ye0ycyJ/8D3bF35TJ2SPkdkFE1Xq2
A+NA7ATGAU1/vCsoGtDJvq3zev6t0Jxz1Jr6usnCbeoN4tUNTcfP9PjRphibsCSBidT8aNORfhSp
YXc8TXmx6WYn37ilVvmiBNNDanM6dHSXvRZ53G6RRWmniqK3lGd1Q8te6LMCT37r2voa1PV9Z6Yz
0lHyiBYiD5mC9QZ2AZlhz6b00NT11m4obpJWvDf0UEO65ISSDnlOGrLT1xWzZb8eLIwa0Xgnwxwv
V9Rjx1SAxz3ATE3/pWrIYjdldKhNbY/Q+DDOMKP05GjRyr6qEw5rUWBAW2ihRVDPeUjm+ITW6OdT
IH0j1SFABQmrrP7c68Tlozi7uOG4y+th0wczTzAl6a2i4Y928SLO3FU5x65fp8GlxPKxFN+Lwobu
qMb70Ga2OpbaQ9fibDIMCJl4undaidFKdMWLrapLrWe3VZnhtxrbVSOOvcVUqLeMvYNc5ZdCPOZT
uKcOBXtQ3V2VNnskNqpDXZvvbqV364CSssoyd6o0z86Qrv/L4/bfnvHlIP7d0zYAKewlgf0LbQA3
QDO21al6GnbzwdrbZ5etZ/0mhxWy1yX/NJz+/ovLH7X/b486l2d0BwncevnmvvviogzdHHi/dqHI
fZWf5brcUgMvTtqzs9U3+uO1tj4/95sYYf6Ff6RX01lfHaNtcGWQ6vwv382PF5vfvxmD0JmFL5tr
lPVTgfGkD6imIg6vQv2mNKh/0Z/rfv/3P/GPa9Z/fg2GMd//wHOddVoYQu0sqndV773p9u8//y9/
BocpiuMSuoNA/uPnh7cyI+tWbN7aTQVQtLY4c/6+Qv2roy0ZxL+5vr80zXv+CyGNV/1xcwegQwcN
V3Oqon83wf4xawO7s/xrF1+/gTj2583dFB8YzS2WWzrOlwQlD8W3m7v3gQuYzWdk4MYWxBvoH9zc
4f7w6/9BSmM7kyQx2XRM3aR8+8fHgyV61JDIhusJYYoanD6gqAHrzcR1LQoZ4wendk6UsZnivk/w
3Ag4u0J3o/ZQzhEXHgpaknMDQG3exKNs500ylDn3V6LItvU2Yt/HfQ+KYd4ARGBUoMZ6P9pCeV88
PRPt/dQ05JTbyDFJs0zz7FGWUQw25Fst0OZNZStJFrtOBvwncwE0a+V0EDs2mSSyvDEdkYnVYnzw
2y4RO4LzMCTqnn3xMRUaBVkOcn0kBcJ9jr2Sk3Y/7Udj6uIvg+GOW8UhU+ccH4PgMjyPxBmmKnoB
3fQ1CnLb99QgtNVUTv1GS2ubKAKoAC8kxaBnBNtQ6qzX3mpCspMZZDx9AjlgVcrcWVP4xR40c5Xl
7hcmhkS4MpVtnJKPlRptWbjYmLw7xXAKFb4adxlOqCiji6ylpyStNfQ6B6KBFC2texk2eXJemHS6
JTghpkjfu7XJPA8w+otwU+ydc6GOJQWzFLwgS8Dw93Zumb8nzmztjNRQmzLszR3ImWijo0kw/nRw
/FpdepPoRP5JhXF+h8WRVdXAnZRmNuUa7yFGgD2CJI9FD8snUybG5YKQItnF1zIJ1N6e027NlAp4
R11/cYYgwMjAhcbJ4r7xh1pRn9NKsuNF1hw9S4+pTwrjC98z+c3CLo7J0FODEuMEc0jWWs4w3Xpe
YO0Gj6arZon1cVbELFab7mroAjwWc8236Rq/pXkCdbmK4TzXJgfhgZsdfGvKbkqcKB28vSXJWN0C
yCTPoAYsx0TIV3TlVHiBJuCVTSHT7UyF8KbpCyyf0Nw3o3A6LEENPIQxT/aC7pl1FcTZ70v/v8um
YBX562Xz8vL5vX75xbLJq75bNtl3iSQJaXnLnOGH+QNJJSRPhC7y4DYf+iZ4Oh8cJEiXpdNwGRB8
v2zaHwDPgDHjBQaNqf/MokB8+udl0zWZczDjINFFPGv5Jr7ftTUydY1shboOKMpzFlte2xCsSXHq
GW36XOLcK8fW82e8fM5i6sszxY2nW9gqBIGx/Q2exYFyIB/lpKeRkNRqhjWWhz3LK67B5Zi7ahcj
IanxJ6oiEog3nrcxo/JNUBTGCbu7ajtQOaL/aONLFPgTrcWoGKnwk+2lvobm8sQNSN/nXHpVNgTU
eS+glVYU2w7vIx1wvP+E/IiTPPerxSCJUYs3rGabVIUHX/qheTdSC2vSYqx0i5gIFV7LIglvMZ6+
zHgwtQkzprfYMgsLISzBqWktls0OaxTO4XBaNU7x6uLrDPF3ZoyViLDzI3aL+bMpxQ3Z6aXt8ALv
5QSKimlDbekIjfLGiuMbfSmCj6KUBpDFXpouRlPbLEG3N8MbPsdmnQpKrZLQ5T0cWkxS9PiBuPsN
UxRshjpZscZInTOw4fsGh2uWidsmH+ptnOIa13DBhrhhw3Y8lQWGcdrB4VLjmFWCKjZVMCxl4lEA
LqYdXIsa1yc4Mj8Sscj3XmF1cGqdGH8CplxCYzRRJeNn9pfpqPpQ4MHTGVovdl4D4huUJuNsVzh9
TbdkZhoEt9NiAw7BEG8nxSWE0l9vpRa7cL4Yhwtb2xULpjZyuPtXnya9xGCoyOOmZYimpxyMbDiR
ncWSbOITxpwcYHGuYPMuxmXkhLfWC3FKL6bmdLE3p4vRecTxnOJ8tlVdXmDv4otbbNFkQSAZYZTW
cUxHgWg3/WKilrip0ctCmF0kvePFau12TN70xX5dyylbq25+62rdwHrZoWosdu14MW53i4U7Wszc
8+RecEEQrBjt97rsYdp64oqEdL42Wh5lpLDRV32EuVgh5wvNvs/xjveLiTxCelo1rpPu22aEAKyG
e20xndMs/eYsNvQhY4iHkQdzw2JSr3CrU8oOHMdMzb2WWR+9WL4iEu2cxeIux+aiZRrmaM0FIIAP
fsYPP3nmxC/fqRw/bzz7FkNLC31lZhSBrmEh9I31lK2MgTRA+Dwq3vMycQs0544SSWfcTkAibpwh
+0hJSYMPM+JM0oB1qKzpaUSmRFBiYj6SnHcHLKJF0U7YG4tnt+iG3ZAybowKTBs1niRBkcsJGnoF
3gcCBNbBh7kIrkmUgG/zGr8r8i9RW91LIzzk0j31LpmMFuQAoESJ3hhq4UWPMdkUtPaszBQVPavN
O70AWyj4vNsK1J5rIJajoR3gUcsNI4uPg6f2zWCeOGF8sVtnS8PMsjTBuVnKDwtaEOVyN66WYsQK
Ih5ojKUskVw0zRMj8abYadvnnF6dYjuGpTmvsYgX98bQNU8ogAOCrsTMaOsUlu6NyLU+qaSwji01
duomValyD22lmZ8CZcvgElv4vDI6Sf3OC54pWbY31gg2i0hhugl4XvYmKKfNEONiGHjuNhYx6xVP
4cfO7PYzQVLKJu09rWQB2UXcBUOkSCwUwa07z9dj3hGRz6jZwlt2k9oKdYKALoQjyonqJJUYN+Iv
qnZuaxsXlzZY2ylqyj2E+JScjXOHNI4M2z9VFt5P3sU7N6ifZg9qRaXPNx7cxS6ZrDU58Rcxso4D
F6SSNbsTg0jXbRs0+yrV6Attgusp0eV6aiHha7BT6ZMbRHLIF/9vY+QvIElCyH54gx1MwlESv0pM
wzS+v46YiPNqKqlBsnbB4i9mjJFgYEke9PFMbaefJfuFjJnPO0Sqnda712pxK/fYlm3syzBn0SHx
M8P12wjuuSvazQiSLa5nJ6OmcvFBh4sjul680fnikiZlkq1iGW3axUE9YaU2el2ss4GDk8RmHcUW
x/faOQcYsIvFiV0tnmyAHQ9VKK/Mxa1tKTIKdY1/GyN3Yhc3BcZuDUstLa3Uprn9W7x4v4cxPQ2L
Gxwp6xSU87OFTRzL6fW0+MYlBvJycZJ3cbmlsxsru0teBq85hnQFZ6sQK2r16PCNjDVUjVU+pT5N
XPeOlxiYacx3+njAfixedsNtT/HibsfTZvMHR9BL9dFcHPBdFGKPwhRPqQHrM2a6pCdDpEX39GO/
VFjoJcfKpKUoDnd9sgBMdIgw9WK8d3DgZ0K9x563t3DmFxofDfDqQxT8XOLdz2S4+3qM+vc8uRRS
/N15EizuL46TvOjbcfKr4xU/C9rw1ywqH/rjFo7jVRpszxaU5MXq8udxktSrpEmHazbQj999st9u
4c6HpSwDVpGBEGwyk/4nt3Dsqz8fJ7HMIBOY3MT5LviEPx4nXUb0JF30+drIwqfK4LyTovBi8q6Q
Xeds61b2TvAQWZOGtus9gR/HMtfBuAdd9hC75sUo2kMWxxtQ6kHjOw6pxU3EUOqRnk+xKaR+q7S8
PrQshMSs0lh7lZiruBQLow9PDuQLahhzncRN6sT7pmXPy7q4u9UxzuGxt++HZJE4CQ56FuGOMTf8
MgQ5Vo3FwzRpT7DTHyEYditdsibrNecLbboOI/co6J4gifZWz4Bgk5yK2Fi/K2N5w7LwJPsGJFLL
Oytol2FJTXlGkH+Z6jlehVJsAxPjn6wRmS05XrcUTEMiHH2rNzqfDPznashmv9WZ/Hmju1F6S5Kl
CMU2cWwnAH9iTocBqOAai+FJdM61QQtcJ6h47Zy1LgDP9lnIaFH2p7ovn0Pd+6iZDtmK1KBMrNm0
VvaURDNuwnh+bKk97jtRXolgoeEVXyQUyL6O7rxuOZEa2Rn63UFk01PSdCet6L/oNUdSXZuctTSM
Dpck/jlNS1oa8JJ91WiUN4T2mnSD9AOJsGuhfl5LxAauphUqfjuAXitADnkQfwp4umTgJm3jJsm8
zsdSrG3deQsndcwNXLFtEIMbHRk4u5IVy9h3XX0dpIT7DSR5gLp1VSKC2F22ay1KLFakhw5GW6+b
xrq0I5QEo5AUq+b91qRbLSFPm6Qj8dOOg18+vii7ILnKXlSkS80S3KgBjhwNLtqLXlMbU/dERUXC
TA5fM6AH94Jbpd+4OiFU2YX2OR0MYCV5fR82TMRlm+FTlIqhvOPF/lx3exiRlJzZ1BenveO7nNZ3
jLiAa/L8X9HYyaJqHrSqecLXstc7+TT0kE9V2Oh+20iBBCzjM+oTxzvPpgnOgm8e9CRo85HQFNUp
S7GU0K/K0ZC31JlwPk36nWeWjA3UMaNveDVW8gU12MIRO0XXDrjPNbSy7eRmkCKbgdlzlMKdyV+n
ptjKPvqtUNoq8ihwUCG/zzid0mvw3KtozH5f3d/G/63e2eWoVC7y7xt0fhJyLR2BzrAsJFx8dIt5
58c1ojRglaWaJ67TDJLPZ3ip/3V+9osv4XHbJhyAVEla7ieteCrV2MSRbV4nzWuX3EzlQ+6d/92j
iPlSfsDv46/3qKuX8heKx/Ka77aoxeKCj8uRv9fB/blFgXqBHcPIjE4CfjM/bFFMPNm+wCwwmv+q
IX/botwPGKU8PoJpCiH5n5HbCX/8xxbl8LSbgn0K2gI/8Y+PX101mWkxF7ouS9AlQrbgcT1k0NKa
HkVc7YLQfTPJL/uUzL/SAf8psukE0kfz1FhBumQZH72+8nVrulgzpUxWyyUK3CicMjKA3P2mwL3R
U0raItFJ6hf1XTJ6l8GwzkVW7Fzl7Ym2X1OaBsYTzXldK2Ic4GHubavotmwh75qdI6NSr5v0pro4
C9pdQ6BcuZW1meRycdH0XWZEB90anHUp3SdyCjeNTK8tUvBcH/LeOxt9yrF02gUjJ8XJ8m7TWN2r
ISHAtfScW3GBYajQ/ak134dCxZd57sqXvOXrTFa/ozqbnlF0Gc0W+0yjQxqxuqY2E2x960EKXgM5
OHa6SjayBKDTScfzk7CCnGnRZJ2+KkbXi7t1VfbNDgt6lKwLjAgjXlCKJ/EiDcm+znP86q0H1S70
azMVBxxWJ0MnLo+tDVrqBHKlhngTJGgfCa4Ub7DvKxomWcjqdq1xP2CJrM1rN7UP+cAttphhoFqN
lR4YV1zZrOJGnrfrpg0+Ncp9iKG+HyLN2JtT8M5CBcrKHMG62LCmwK0BuObKTcxxX4RBs4K4oz9M
rgegebQOWY6qYKryToh0P6KrrUPC/eR4m2pdRE1wsFGEVhg5YHnHHrBt7nNzSKN5FaCaQ2B/q0VO
TqMS/ZpGb3nnVcJdzVbCAs+JHy0u9LVW6Nv+a+KHwH52oeIoP9hLIEi5AGgHCr4OJWmhcYkN9fgs
V7Z04l0Lc7na140qoDsi0hxB+HwmSkyGACT6cS7DaI36e6gr9dDoDCX0lopzrWzXkBs3TdhZm57q
KbfPC3LD9UI1/FLA7gLZMJz0sf+tbAhg0N3+1MkKaY7U1boPSlpPXR2+0Xzu8vGcEVKGPR5zjXfR
0QoyHYN1yWeXt4T21A5CX0Ofh3JIhMFW5rUDha9zxdaKYvJGJv4XL2l2sSPPqU1oQPdaonrBda8n
j9640DOs4KBkZe16rm/rWFTRpo6LZhuFOfaQ5BJCWxtTFW50z7vkqbdvLYIvg6N9joLokat/tVaa
Crn46Z+NqHzqE9fXFBp77Urx0tcWMGXtIzELAOCtezFGGAZispNbOzE/ocOfGuF8dubmNFnl1SxM
CtFnQGWFdT0SdL3kdUZYClBH6dgnA2Ie/hV9RZL/rlc6RPpoIlHxkGgbc3JPZURMpWfwCy+lJqWi
PUS9g1UvSW/dyNHWsqjhzgF6w5i4hj5/E1pBsbaN1jcG5D+A55pm70k1w8IN4oqDKlWPNZ7MNPQu
JE0ORG6uqa9fd6R8a9psTj0dDrskmz95NtjjFpS37dLQWOOv0GIFDbI6d8N88MroVVqLF0cARckG
b1VG8X2bWq9eHVZ+NzIiyivnSWmoXiILeBPD+6V6qt1kFWsh2al03DU5itrvFUD/3gqX3OJf77h3
Uf8OFuTz+3/eDJcXftt2FywbYwbJHY96V4dd7dvFUOC5dth18VOxwZN4/PNiaH7QgQIys2U3ZNbw
vbEaYBt2AbIJNt5IwyTb+A/Gs96PBzI2bYN9f3EeeLbNFcH+yW4UyqWZuzPkBRJ9VTpnDQY82S0P
bFqm+54ZJ6ScpZH4oR1Ah40WEqiYJsoPpjayWN319LoroG4N2agdLCs3Ll2iEUKQTX7KmF3cg0Md
rrvRLM80zxRvrWqHo8yG5N4UQ30yi9jL1+3ovAcyYnE33WCLtW6x41Rt8QmmrO4xyETSrIdyBe12
l0gx+HOaMxXtbfJ2RjTfycaOOjLUqN35RIGE7nqknW2a5GQsV8wD6asIneQmy7rgQcZeeNcRHArv
9ZjS7maXOqKaD6zFZDRrcCvoUsLJleQLdnrfkcgCqYdJdRrcYnrhIt/f1rVwBzY1/NM+jNxev7Lt
Mt5kVlTFj1o8W/DY+sRxSMXbVQ2A3kDetfqp+pRAnjuYPdPgmeGTj/NzVZfT0W1LbuK5FfqEoTzr
1IPBeMEBajOGDFHhiKo0OFyrHtvfFOWGwUUD198UQjOmf9W8m0UD4Ef2OOIKJ35r4zQ8lvi1wO7H
VXtwKzfq77AVie1UWzAI1iEP5nDJvHTKtX91ov9LrsZc89crwqX4FedM8po/FgNkHUM6klQE0s7X
ANMfq4H3waY2SYeYgPniq4/i29RxgVMjFMFA4+yCWoTr8NsZ3PnKfHQ5MOPh4GX/KGbBYeDnMzi8
R1Yp9EnkC7KaPy0Hzcw9vrM6+0oZ+UxNuq2XxOjcsDJ9bVQ9OsUcdEjHmrRBl7gQ0YoLpF3OU10U
4xNsLT29uEvbEsApxdcA8oGgYG4CrTNjb6PwseegrQYrHdnL405BM2Na4s+6MhkWJgQXykNj1lBu
vd6yx9uOYwfdDlqhto5FU1835s8oGdhSGQ+1uQNZo+kBOvWYSZluZKtOac026PSHmB6EOrfJL2TY
3Cf9jvv2QqlZCLNByTwuO+VVcBbD+DRh7iM0UQSrsoTeUR7STHHaVng6IjuOoEUAAqN0haGEi6wB
iQqD7Dg/Z453A9qlYxRmAPeisAHk/fJeBeMIL+dY59NnObajH3X9b+1IJwVJTnCQuuUjsN00RT5t
B7vHG9t5uO76ql0bzjz6SWunhJ7zeTNh/yBRKjeY4ycfizdzXbf/rJnjCYEfqakOamAt4vM4UkVJ
smxLbGQfWbQFAGQ8x64s10tqmQQJJ7NqODdd0q37qJf0ghr3mqlvK6eTEHqCdbb0ywR1UB7MMIFS
ZBZXsSzu8GqsA4cWCeS5kLqXVc9gi0oocMjpqwmyeFWHFFaBkOqp2k5DEwWxVEczyDZ1STsJ8Qjy
s+0Yr+q0SLbu5DDqNCj/1Oi/hPKNcZsgg1DqucuxmSaFh8g+GZGv2epmdPAwm167FlV77Du6mSq9
flYFSdQ5sU7sRPetGjf2mALiGsU+yeM7lffnyIIB5EQwazgbM9ChYqBEndnXSRCu9dG70a2Cmp/K
eC9S0exFSTLOyosrS0C3DKl2zI3k0bHsp4wepaKsrrWwLAH5YgYxQWlTThkz4s2eQCj5ixem042P
etkVPgyYXT+k92NiHRhWUekUhMRZXXzfUxMzqtRleMKUTnrdmzEDDcNz7khG1LJ9HgOYQ2bzYDZI
ZZiPdnnoXceNRY+SuzKtlplMwIGc5sA1/CtIoQlrvcvIw2i7eyhSyaqIRUdeRx1UY6p91VZ3nU0d
q6s+VRa59DECU+DFUUWy3BRrU+8e+4iJuUhI2hR2eNS04sjJ5IW7AVcRVUnOu+Ier/I2qs0H0Dc7
WmBuBj0aVmNk3Js4F3yX5uQVTDYoZOYlckptbSTRdozSZ0gA+Y44/Uum5nFP8B48CR0ZWuh6HJ2T
3DeytNi2bf4xzjnST0v6Jx1n9+TpE5Nwoe9gutdnWtm32cA4KpAId2TR4IMBh0mb6VoI872mgpCN
uLoqHQeKdxAeUXMpMRHjexJ5dzFMmJUNZRZiFBC0Zp6+DD3cqr4n2wCT3gTSRztP2SzhDQdDc5B2
93iUeXTIoxEvp+yjKCMqIKbCWptFuE/U+GKHbQ46drkm296lA3AmNPM9aUe07JFLJSd+HijGnHgj
v9SMPSHr7ae5+Jh/nYcyGIVMiJTMqFRfZqbuqGGc6Ow7c5TmQeHkWs3LjFXI+CIYuk4MXyeGsOTj
buMapGwaH8K2ug/C6ku7TG3xHJwnxri2Vj6Uy1zXmKDZ6Mus11umvvUy/8VetXGWiXDMaDhfZsTO
Mi2GhkXrO/PjYZkkR/3w5C2z5a7ADNYv82ZC/CAsmUCPaAQcYPTFGsWdf5TYBBhYy+F9WObXADCi
TQ4gLgQUNy7EOAE6Ll0YchB8nr6Gvw3wckwp3sOFNzcljL1mEHR6U4CXNj/N/8PeeTTHbW1b+K/c
enO4kMPgTRA6sMlmFNMERVEkcs749e879JVN0TJVrjf1xB5Ire5GA+fss/da3wJNNyrcDDWwulpQ
61ALEy0tSHaKYNo1hXVBYlaABRxsTzRJuODGowEIj6+K4yc+XwUhzxCsvEhQ81bUGRb1tx/b8n4Q
ZD3M3/Nen4xrtQ7vYwu3RQuGryBY1A0FmU8RjD4iVr9ogtpnCn6fUP3TbHgrDv49NwkJ8N9XSddP
z+1T8VL2P2HCild+r5VUhbkZJybqnt+BMH+enPgj2+Qm+f4nvOpdraSZuowvlf/BBUPy9b1Wsn+T
Eb0yDUJtTQTlPzs5UXt9rJUQPJNcSTGHrFXlTPZjv5JU7hLE/DydzxBgPH1I6g2TrjSoAbAU1txv
OikDqAQYc3yY0uJQA+XYmrJtYTlKCDZbMLIBalWuosgM6H6RmLCUFhOXRDrI/fpkhOqKy7B/mcym
C6yULbnOw2ttkMwzzDlYv0fSj2vYpkda+kEaxbc96NYJMhcTa/uk6NUTCqnXbF5up5gwDD0DStL6
lqLuHACubAQF6s4CZWuao/hcF1xys6x3cKURGuiG+ZJa+pfJlB6zUXqZRroMQmnmzdOCjqAqvjUF
Q8JMlo69PA5oP0qeVsHsHh3zq0gcA5hvKl5OCgcoPJxJw1LdxkV1qZpRYFZgpayF1J9m6EeykbdD
dBYle7PWrprOPNPy8GWFar2UF6ZSTwDTsmNJngX53ncFCoJQDZ/j0rgZDYb0cvq6RHqN9Um9tNtl
QUGE5naMOppLPRGRA4mGQx7niM6oOxtHA1llAmBjCfJ7a9J3dMtST8sJUpdL3P1rhbykSBRmRSFV
q9SbHRS+aJfFeucWkrYdiNS4MpRc5YSZA09ZyK9QErRvRiVpZwRqJ4Bv0JxmtlKf0LG9qtAWueRG
yVsaNXuA8InfahBR9CE1dgNh3dltGUlWdKZ2a3HHno+BNy8aJnD5uHqzZk4UnMlEqpP92jmYN+Lx
PO4ZZpK5AWa/f0Put8aafGNLtSQ2T9psia6EG6ODIG7Jyex1CEiA/y/lptan6qxY1eQLPcnbtk/m
Hdz4x4yZkmfg5Tqf9FT1pXoACbPYN045gXg0toish22+0mRt8ZBIQ6j4A8jMYCbPjqKnjK4KvWhc
q1PL807gBWWuJQaaszleKgwrCT1xhp/Uofl8QTheF9jDVN8g6fnaIQA8WJBRyNKLX2olngHpAXZJ
0HFJdhXSxcelQTSmQhHWD7sWW/BObc38ujGb/HysrPImU5fer5WEzGy9vqns3u97kyiRgSN2RHT2
bALZGUIp9VJtoD1XLedT74QehAfgb9SdgZGo06E3FRqjoFBO+gWmWFh7TTzdklDPMJVccNC3KMoi
3VlcddalPZme0yOsmwmwXxP6id2XW2rx7DnTjG6XDxMUoMZGgRzPu5EGLF5eZ8VyRAfVRTLQXk6a
Ep7GkcY0c1yOHed5hHoSW3MFAjcFS7SZZXv2e/B6Z5K9Am0Bne9mxrwG/+5Hb5Mz49P96GbIn9qf
NPHEq77vRbTqGIjKYKtUg5xi0d97d243OJRj2BM2DFyBf+5FSIJ1pm2gCxitvjkp/tiLBK6EoAZU
GWgIBSjtn3TxVPtH/x6iVjrnio6IhP8qVMCizffO1BSFmJjLohqO5Ppwkk2Gx3ZBF5VlWPRljJxL
m98ZCr5XSsSzpLUn31BQBjOPuii6ag8IVXI7Q4W2zAStk5ID1vAzsHwTAMTkWpazb5yvybGpRmIM
pYnEkEk9q1aiU0PZjLyiq8/LWb6bVvNR7fR7B+s9bmNH34Q5HXZHglytSxIzN7x3aiu5FrkhblKn
t4ZdPtZL9WWMifKtEOt5oWnetjSsSg76vSPdMWuinERYoSVnYxaf9lXy2FU2RFyEmK1mkGwU2UHB
F3OXPDG3qlqdDEr1UCzyEuiptvLPElHc5NPOdqYvi1rjB+6nja6vva+mhMvoUwKtSrK/NfFo+Ays
Trs+v5mIVMZxZwRGZl9B1/3WdM4FtAUe+0ZoY6K0D0IQSXY93oMCfw776iFs1HMO9c/M55GnZm0U
DOVk7TqoolHNeizEv2n0mKvseHVu0yQg5sqd6up5Upwz+qa9D4p1wgyrvanfmFU1YMng3J/2XXbS
6OEpWaRovmF1LdW0QQVzEiH/ilTjalnHVzKGXqyivdGSaEvn755zV+HLFh+SH8mRaSVME/wlVeZQ
qwJRuDTH7gxK+GueOpUfMrys5FCmqcD8o5DVOz0yrnQwDT5djxs9Ul8H1Rz3SyJeji9+o2vDfSEN
uw7WO4uZiYKB4SK5N+nWNPMHxorZRq2HoxobAKYzK/fe5J2yLjGyyjayhQjatOVt08eMCzNELkPN
r0blMnkqQLU3jnzDnMpMug7/OU0I0jpRFmYRJKlwAd65XkGu2E6lsRmITvQgmYtgZQ48cj/DVF27
1M8H7jg8H5Jnr9zES8dvWKh1BBFrva6ilnctbRIexw2YgevV1k4gqKNRVHMO200Y+VEOTWIcsmdU
ifc2bWzXMuuvslK1lEEh4TtIQzkT7+j0Sl4lxTuZSCpfsrLSk+Vqi/F8q8g0qDtZYvYFRsvVRvuF
zsKpPVejC7WtRrDcI5hekEkjMgZMMHOUZdCq0v7gbgSir/VfkT+TzNyCH9bXer3AeacedID1Pp0l
J9rnYIroemTTHdj5dgzaN3w/lwGUv9pbETkqtEU25hvs33oD/+t9TXPGaXMCAcihtS4IQU/Mi6VJ
4gutmaOHZIDum3MLuXqsh8e6g/PQm4Qyc06SjWjH8Sm6jhsgRJFjzJdyLhG31STUBL+jjrDgAD4Q
AKThDYbUvIGR4LAASeoWlDxgk6rfAUqppt5nkwxeIS9rCgca2Io/m9azHA0k0TEyb1HbTKSui8wk
3WiwBatWdCP3Vt49qOEYkQiprQC6Cf41w8fMSGhIyGi7OCM681B7/26Xb9ulzu7y2fGt7J/+4z61
X59+5rERL/5j13Q4wVlwg7D9cVCS6SZ/3zVJ9UBLIjvgvThZsWn9uWsavykwIIAGmUJb8kO3m9kX
0yr4eZpFVKOIOPoHs6+/nN8cZCuqGL8hb0Gt9qHXrcWKNPVLoR/j4nHtjvP88O6y/ERORaLkxxOi
Q8ueigE/EImThsWXfL8rD2Gn96ExD8dhNQJVrV+XWj/mISeHtn9Fasga1iZ+oXMcUaRyj1Bj1zZp
MFhwgE3JrLYVbN/SIqiro509xBu9q79J4ITgiZwOBlVrB7vOXeP8XCFeIkNa0jfaecSWLvpz0BW4
iJ4Rc07baLRMO1YpYz8jjnudDBlgXxGbyEwSi6D1JP8GqgeOJ+V9oHekFLWEe92nORGwTqY/DzEE
l16hoa8jJjnACmXFVuxz1OpSkNvtvdPi4UT/imBH16eLdJ4UV1OrfqO06PyWtjygZHzMVPUUvoDv
OMVyOkXkcuRltUMIsvpt2NyERr7V1gR3PA11QqEeJXkyXDyZr0UmEaYJqLJDVr8ZdNvHFXNtpQCI
5XqvNZxeZGnHwnHSk0MLqnW5nDOgKGQ6Q5xufTyOJ41lPYXKSMgbClTIE8ThJU99FxZ4iHQOvPaO
IKNzidw4o5yQpqsPXRadQHneMUE/1cvG8Ft1PMvZnE0Eo20NL5aEWTiDzm2KU2G3ZvlFGyJi7FZy
XxIw8A0gt0VKT3RJvwHVg9lyhVmprfp1QnfJi7s5DgY72S85sb9GahDBkJpbuUkYu5ByMuiwXmUU
C+CjXIKXxk0MUXZeqQn08U6vNGIPjKPZmQ9dv55niX4VF7SIh7DYWvp4BkVxXy3TPuLQHI9ULYUz
7YARncJTujaVClNZmt9xsLhVQgu4w7CpWvPEXo2NNLePuFnxxfYOPd/ugd3IRzowb6Vl/ZblVrBY
sdeGhq9l82k90aAemoiB6ULybg/0xNWt0I1M65GnANtP+hCFYN9ndL8baRi4bZrXpUp3toiE0epH
4ayQJPm6w0wBPif1ESF7spF/XbPwktDC1UWFepqlbUYbEJuHLlk38Yo+iewAL0oiMqyL4qujFNhe
MaEG9moZECHJLk6YW3CUBYJtmNepo98PdQcSRW3JUazF05NO17KSHqQB/4HaQG0wSH4WvNSr2QZU
OjDmOCAUgc9qal3g5FQpxGCGwdQxJutVM0gYE8jYuHynCe2vbOQA3Sn9cRbUJuVQ0Y6oh4tFol4B
5JIc5zYxT5vaZL7OpXBJqIm8Vsoy2jBV7Ov42Mgxl+SgX+k2lH2YXVV0w6BZD/KhNhkHxYvq9k17
6Pv5vNbrbl8yX3cBctGEUJtuh3wgDaJkOMUFjc0jq8HV4NAN59UJ1hnqJcyMOqj6pmK4nOTnFlP8
TMQHXa4j3zgM62djXW7bUHuysmbH+naW4qygDpUkph3SaZip6KlyxXAz05i9HqH3NdJs8KsKkTV3
Q1ZeTWNLDaea0GpgSai516Y6wF5lgGNaHjBCsSCCU1es6bIcSMCuLWgWFca2JtyR3CzQt1699qcI
ybexgeMol+8oalC+ySeTE+bbcs4e9TQ03C4R5r3QPCg9cJ+Qdv/XepJUj6xZkSGEgPsmUwqU1Ym2
1ThUexrncabfaxaA523PVjs7amq9y5zuUmlMHH8UOXMxlC5jSp8lb68q4UDD2Wz3+TJ+ER12cuS8
gVlj7nctKK5lInSDNWc4mWSzeix1kR+USIBDyGtbhhaRtS3O/ISVnFda3jLCz6xxN6bxuC31Ytmy
9Md3YcM7qEN+UyIh9PHTOyfD0qYn6ANpfRkmnTTN3g8ZBDe9sm4g3YIC0VNydwq1a3DLhHR7subG
DJcbuzTW+zUsyZEZUGIZQ6S41jRv+gX8cy3DoIfqhr+MF7rtaAz3bZLbm9leEjI8CI9nV4p78PQl
P/FEY9MuWn8pqgdzrJHzMd6xlmDoqnN5sU6yZvki0/gcE1qUVR1/GXL1xh4aByDaPOJLSVu/CvPF
Iyqds40sP9BsItdm1pv7wSTiiVEsppeYG52JHZLKULtXZ6e/DlVj3tiD5IAx5ljw+fYsjsR/cgne
sBjIayg1HAvaJzqbHzdntShgJkRpeeyJ2KCZsjfM6XJqu83nb6P+/H3oVdMl0HjsPxYBvSWOK3F5
LGBydab6hVXpAuX5I8slwpDF4QdY8t0416jQs12nxqT9qK6tlgdWqlMDtWPqZJdxOFyZjRxo8eAN
pCGXUfiCawJKEo+AvkLhk6Onzz/6Tz85GiNL+EU086NY2yiGKumdrDxOTKOi5UbIaOLqd7n234rO
P0Rl8zs4FhInBAxoo/A7v6FY37UumEfXCxEP47FGZg/xSN9rQBhcOWzYN8aRBGJpvIdpXF2WQNQW
rFiTTQxptdAqCDWsiWmxiaV1uIRF7lyX7EpDRYSBjAxIrxjnGbBLXaOKjglM7zk0uOYqz41ZYH1Y
iOIVbdynjHAhJY+S7Uq7Ds4Z6EP8C0B5tGepVTcwFolX0xpgrrqjeFWjbdOY/jVbEaVNbMJOU1+Y
dj7NlsC7YqOYrfxsWS1wW9Yi4cme0jM5roErz7TWI4VmeOyklq8k0W04KMVNMxnsH0p0ahS1sYGi
1+/IDgnGii1OQZa5pFYW1LJ6jqSL896K8lnR8tNQfhr0zWBYe9bFB1vioGhNym5J9Ydca+OgrEvQ
WshKNaAaq07pMfOY+VbEpHqWil3bw+gqlBm98PiUJWr8vHCals2m8K08PlOrNaeB22xgf+G8Veer
gnM9Qwm8fOY6H8Cs/85p/dvbQfnp/cADCWPLAAYH7vPH5zLUpApUn9EfmVM8aU5X+Gs95kcTV4bL
evoYdUZG4AbnVZM8puQtJTw/46rgxIiB26lRd4aI151W9cyo7HuSh+NNVxgNlnQZq6oBsitKGLAT
UGID59OLncqm7pM41vh2K1GPsBDJRVWSrNxcRwWdcyXuKnaDoXNRaQnTFBj/9bmtzCcHqQ8O+cry
2kL9Yqq0nLolYiCv+GaF/LhlMokh3bxPbZMkTvUb40RUIhPLADB4s5xvQic9tWjyNMgxSGziDiEw
a1GvjXE8y9L4ukmMK3QmdBH6e3w5OumAYHPNZqAWbEbgFYwZbMEH0UAtyqjofMWUniTuCa92tAdF
k+6VmK5e069aEFuImFcJJfVckafXbmU53Tu4MrGqgBgcfT0DKGXb08HCEDQpY8c2L2Yn/Y021UeH
wWmHBE6bgIujTystbLMLnxNEYoauFcHpqVWam6nSia5KMFcz0FKd5DKrpWy/2GtQdUtg5ghlawqa
yow4l/AwjpJzOTX9KwJbYacV0zSSkOGteCb6c5XIJ0UxT80OLqmGYc0mojPQo9WbRIWaDfGpRKJ1
pkxQSmn1S8mFEevk2OGfyaRDwS6OO2tnKzkBo90G9knp7HUS4hR2zTycNj3bOyLh2h+khnZRJm3T
yT6sKQMqJ6ndSYkmejcsuiuGsRRpuDHZF8TR7KIS8uPUnJZiegeKUzrP6wmvT26d6NF0wCzUkMxl
8dvUieJNcrqL6+lM6jgl5CQSaEVQDVZJM/XCNAILPcBkH4t5Y4Lz13ehNd7VMobuQj4zMbQyZtFP
wUACpgrD8IAMy/I6Q2EgksIjnEYimqkbdtXSd/5iWrt2pAqxKiLAMd/BGWuVX2xt4kn8YQdl5X73
pGri+Ptu5VZjZ0mdOhsQ8yOH6s5IOfPmkZbwdJ61Zwonls/3I2Run77fh51UjeOS0wUrQ1W9IPge
5yvcFGV0z/zu8zcS8tq/vBM4ZB0+GCNe3RA747tvNnWIrlN5nBGTL0BtkrkTgVQ3pNNX+7jC3J/N
IyIe6ESVIitnaCsN10wrZk0i72bi3/U6RXplTH2Jj9HGujfcSkl1XsnWdU75xqnH6ztVROLMftlH
m6JPHstUv5PivL6KBpznRhz328IYDgZadQqLYFGwGVDibctes+4c1bmuVyzHpAMMGiHtmnpYQdMa
tXM+ZdGhZdvGqn3I1JKHSRKaGw8/311B9zvJw/1UgxTNZxzPRgFnAy95PkUPzey0d2oE1V/ttOgX
V/XHfsvvG/37iyr8P+8uambqQGGRXhzt+TFevy72yee/2q/+/Q8bhyzl1MhABo+JfY3Nw220L5+/
wV/qIe73d1/gDdny7gsUZpHJmRotR0O9YLSKoTSQ4+X3ruLfboDiKnx8qICM2EBkEHhDuf/xKs1W
ByJE51s4aK/6534qqEm+JLP1i19D/fEeF4h7A5w20yzBmrSoTH98owUUxxSttXqkjHlmU/Nv8k3o
EznvJt6dW7p3e9MbT79eJV58OwdPebB85Ynudtr+86uqij7bx2/8bhl5+6DvLqszJk7tRCwj/Wb0
AWUH8/WwJS5i4wQOKZgbZct13igeLX03Dhy/HgP9WD5//imMn32Kdz/uR/h3Hna5raLaOt7PezWA
8bpxLiz3vNPd2N/eGd6p6Rdb5xhv5h2EzN0NYYbbece6565bcj2QcrjoHXzpdNiV2+48hq3rRv5t
5Q5H2Vu2xt7ZV4dp134pNteff3SRevCXC/j+o384yUhql+Twfbkv3cqtN91LvalvFJ9obJ+OuI8i
a1OcVNuL59Ng2JMJOHvpCeqPk/RIDIsXQudwv4Xe7eef6q9I0Q9Py4fdIUmqsYUpsRzjvePG3roD
Q35TMrjGgOSabugSt+PmW/vY7NRHGmnB5+//84f1z+fow2rDUiOh6l3mo7xWgTVNh1XKyAKVq19s
SmJV+Xj3vn9eP6w6dmJr47jmy5Ga2h2nZ3neTahfNFClPa2ozeff6uc/9R/f6uNhUiLpVzOadDji
ZuDkd1VHl/+/N2AG/n6R1mbGn2bBAQpxrZrSB3Qs//N3+MUP81FiLhW1XVoLD1pVH7si29Tq/TrY
v/hVfnWdPixunZKjtbXS/jiLXwVegDOn3v/ve3y4wYZq7YayK5bjNM5geY9FhmSluPj8TX5xd1mi
JHq3NpphJC0059gNyOnQnTLI8p5J+OBZyEvTST2OJIh//pY//X3QEVgwFjVyWT68JdgzLayTfjjq
RJGmm0xDRmBuP3+Pn/48797jw0NDslYnNbE+H40UObB8WRS/6Cr86g0+LInweWYtrZrxKLNo04zO
YKt+/hXe9sfPHnyxobz7aeKEoU+Ycx9zNnAxMJ6Mu+yMI4J30npxEJ0Pv4TFfoit+15B/fH0m+Jb
v3tLhf6f0qsxe9Q9jeGSVfUs4r3d6Uk5Xfeje7EiY2brNgKYXK59KblXfSB29YuH5kJDFeHisQyW
3t2VXrz9Fcv2pxv5+6Xw452TtJOshDx0yrnYyFGUbHN9Xyqem211/650T2BZHV7lrxzO2i/LAbzD
L1YvVSxPn/0oH373UerMuHEWagkfqb2PS0A1XeeQ+1dYjk/R7fkPyMjdko7tpt3WW9uTfrFC/+oj
WB/2PcIrJL2c6v4oHSqX1OfVTb8RmeVbh+Fl3tVBcWptYa69Rg+aN2+z88hPXz6/Nd8OXp9cBevD
fZJBCtG7klsT6dgGr4abiKpun3k3437e78mydtcjjtA7gPh+sam31gXJq/4QxPvJjR9/xXsW6qi/
/ip/Pu4fKce2RLo2R+Xh2AT61tzibZk362Y9TQ6K+xztww1Cm329o6l3OnvWl4C4Xn6ifpttrhNf
FAn/LQ7+VV6L2vDT0f1/3Je2fGq/JT9zqolX/zG7139TNEVn0bENDV8a29v32T1iOBxHYCFgRfx3
rP9dfW3wJxDsOVAA+TAtAZL4rr7WfkPKLbK7DPAfb8DNfzC7Z278wz2F4k2BzmmYHGDQX6uaLP78
3VrokBtTO4oWH6XMVn1D+CltFMx7c8RjOb7ZLfumb1vXXCRsmFEmLJnh1HTplyXN0sB5M22Wwr9J
AEdEaAeGuPFyfrN4DggWRCjJ3Ky4P/EWYY3nPPnmDIXQj000e7OMYk5t8Y/2b2ZSuwda1xq4vt1S
smSgltGa3hRkIH9BO5yqXk54DslcNjNKNU3jTU22zlr1eUfsFm2m3Bis21IZidJe0n68rQvabaQ0
1uvi6SVjeU/qmtLL4KRdaNlYP2hFkz5IRm3saEpjUFPGPETpq0S2m9tpcgb+wB4wh60FmZ6JGXpO
peJJkguv0NLhTJas4miZ5XhV4OaDKZbhhUmsctwNUmjQ82vsR7UsAOY4vVOtLqh4k16SndBZTNmL
riSF3BCSBotkB5JtfS5UCZdFpC9d6S0yDnZ1Q9JIis4VnVhW7e1R67cGwmup8xP8Lg99go44yEba
UzrGpbgMsObipsUZO64ix3rSwDXv0Pfx15a6jbYWwvjLrh3TR80pu0vH6ixsWKaCWLrT45tC9Ci1
rp4uKomreVFK0Qh7uZMhukVhNTR7kE9DeG6Tq/qQ5Z16MztDThChKcKLplJO8p38lmsk2SLjqFHa
dCaKNNGnF3OyoxdHRCUNvRZu8iSGQZ2IOKVOgiBZSK3lZ3bS3ROJWrfnDbpgz1z738uOf1cugXv5
fOXyk5foZ5YRXvjHomX+JiPTtf/Lo1EoD94tWnQ8RGoHgbGmJsYK3xct7Te6IQiVUOq+SXhZBb8v
WupvBj5SgeUm9eNtFfwni9aHk/qb2x4e+5t8iUfSkj9szAlPfRfnvXZGzAgICIa12OG9wTSykyLh
5lU9ZVytlmBYuVaBI5bkVA0VrYa4jE41rLBPWSyQppSbcvOYWrmiXExKB+wmHRcmE91YOueE5q4n
kTbkyb7pF/UGP7Jk7JVORgXpOBKp3qEWnmSLKdPmy7JUuU4sJ9dpH65590zovTmdtVoNxr8u8u1o
lvkLzlT8gWUy5GAr7CHdysJH7rxZyvtm6fc6g2S6n2ucoc2Tl+Fx1a2B9nkTywcVwia80YYo27IE
UhPPDnORpu0DhrrJwegX/TQM13pgzhk6T0OH65GxfTgR4arjOc3KeLiIVeMJYN2jlUXPqQlp1tKd
wkMN8VL3xYtJphYek6LRv5GA4xHc5qlNNO3LVTY2fSYNj5MZgVZXZYw3U0bQDlJg2D6k3d8pEjJ7
J5vC5zkxxx1QTHUPGZ6ZQqYWu0xpraPVDDN4gLrZ6gJc0iLjd4uMbrdh14RxtGRUOSNM0birfbO3
PfJGkMz2xcEeHAaQYWudLYax7oljR8XDtAlHa7y1EuTTbaQiByL+1qs4ThLOk/m17bzYeixt7XHd
5YpzrkEB2C7hRD+BA7MbhXgooYjfC0Wmn00rQ0bi1SrFAVAKw7gn3PeYaXPvkXQyk7hozH7L6DVI
SdU5hwuUXUuToV0BaitfUllvT4omKe9whLYeuTnfymVMf4+5+HfVEqX3369aF2QoPXUsT2Qb98v+
2//+z+8UAfGq70sWQkhWHY2SSMHZAYnjzyULlxu6SRs6CGmEqizK6v8uWbr8m5BU4mbDGYejTeQQ
fV+ySFFHdshah3wGkxvAkX+wZGlvx5U/zxIsjMgjkenwKSj4bMBtP9ZZpCyVpRYuyrmBjTPbARgk
Mc1usrM0zFFbd5d2vN6FGEjVps+3U+TckTSGejzGUgpoCKVOjfJ7/tL2NaDZqkVyXgHEk4ngBaNa
zHtt7vx1IJ1XeqiiCPXwJrajcyV1QHYDxPaYiTq+pawkQ3W4oMg4/5brDmP3gTmwHtoP5Drkga1J
ZAVN/cNaFbtJ1RjBGuNFMvU04iD88efyYR2FeF/TzpjLmO5g5belNLBzt/JLUnevDIy/2eToAKPM
kLap83Vhz5OXzfrDtEh37Qp0jwBDn0mu7Y2rcyzNZTlIenZlKssIsJKj3oxyjQKYvxh2r0Y46PxF
wJSjgpwHBmOqJgSqhsSJF3GLL6jSnuXs3lgu4o4IrE5m4jy1O5MqyA+tviXKdVp0tgl5Lgh41oAM
1RpyvrbTeudJSWByB8ncFjuIijEtLpIE4Dc0AZqpwe1FzoAc4iagSiV7QIVgLos8Ak0dW8COIqVg
EXkF8QJidl7z9nIUaQagJhu3FgkHahcS6CdSD2KRf1CIJISiMe8rkY0wkYYY6CIvoaogrfciQwF5
ZhGEIlfBFAkL3Ju6m4rUhZQZdSxyGIh/pQrHbX4WQmXxJ2foTuJotLZzi2OkBCbd+Y1IdpBiLdwq
2fCqitSHJm7wCYokCGbbX0eyn1wCughoE3kRSoPuLREZErpsvjgiVWJoJqxyImmiJXICCwqkaSPN
L2wNKprylkwhLUngKKW+1UVuRTZ2xhbMxUshMi2gBQBaFjkXlki84MpxiBcpGLaY5aoLyRihrHNt
ZAzSpcjNoC9DhAYc9IzbiVyNeimRQgGZx1XDaL63pfYw4QhkWkwmhxPHCTooYsJrQA8BP56O6MTA
viFkqMR64CXXtgKcgbVRpH4wZo3dlliCr3IBfyIOMW5OIickKlrTbWp9JIRexIgwCTZBaQ5ki4iU
kRai1m5ayV4P4rcYklkkkgDWaNPXHAIFM3FFvawUZuqY4LtDH65ye2BYjeB0vsklJYJ3nxOTpDnZ
psqb20VyIk9eseNVCIDhk7EHjt2DFDV3eSUUGOyrQVysczAWtPlTmWwWa0lvlbK6SJHjPS7OShpi
HMWny2ADNah7sq6GS6StTNVJAPSq0mr2zmC+xPn4OMjhZors2Jsd6XVKe8FoSB409LS5nt/P5mRt
sZMjjCtasYg4Z1wKBHLOK9YkXxoEvq+wb6gXLxoFGg7qLLdsqyOF2bNqOndjLkH6aeeLfm3tvd22
O5q619gkvxAfGAZyT43WDG0wpktCDEqybDV1xT1YzhACi/IwRVio7PgqEs4aKwIHOyASOhjy+jSn
eGSmUt0lVXySWRw5NAb/M0rvBW8yTwoOFc5Wigvts3T10km+pnZZPppZjzRZG/GP6gPmYSJTTkzT
QeKFnASJMhrXDpFIIQ9lYGrNRTVJ12bXCUd/lpxEJT2+GYNikMEqEi4roT7uTVzCrElhNUWXheJQ
PfC4XL6FraxyGPqteNO+NuIgJQJiK3d1cpVHbe3bakfjiAJn26Um9CEDB3OtK0uwprHNow0rXQ6t
ZTsPSxqEXaL5CRh+ztYpiIbWeEUKs/qZvu5BF5zLZXPg4HlqDHMRoCBRSS2A06DJNQ0gvUs2sWXI
2zzEVarLVbVTzdkQsWRuEucrkWSJulW1maU+5dPGBU+tOiFCz0uN81uco+aqWaXkJlSwA/FNDXSN
AvgawfBWzK2UwpJMC6CyTdQz+CqgNLBM/Te/799SR1g0/r7UuQZA+fQfDyfl01/rHfHSP+od5TeV
MxqboGgIOkJ2+f2IBkMbQwa+fHBpuqO+p5CCOYJLpMnQid7qpHf1jvkbhzpNxUkiazSF/llc1U88
GzYOfEemcjIM3k18iPd9JUuJlDxvjepctZHtgq3hTDYtSzCzv+OZixRUXNkm15Z9WZR0hZwyfigc
66QYk43t9FvC3I8WjYaUXONVYhFB3uvlqVWd5olVnadJe7vI+r3t1LJvd8KqLhGEsWQ3ZhvCHu2R
62URArcqtS7nSAM01K5pLWOxICnAt41JDpRZPoKvHH18xOM2DuOcLFkbmLfcx7BN0XiniNuVaPEV
0tTXEEcojtFqN5gTkSSAkedFKAoXljKT1YSYYAhF4yh/GZUefs0STCoSot7RkV/JrFMgiJ5NvqdX
F/y7jRNCKh5xvcvzJOLh02cH3ECwhABGhgKePREW+7XUw31ekxgvF3NQlVgLZZTPB8OQptMw4YQH
EBxpCkmiHIPIJsjhLMN4Psew7xlivZ1WfYPT7KZNGhb4rPkCTOq8bpQJNcxEiG7SbLQmHCDel4Nf
SqjUJl1uPPK6FzdrhrO6Jk0mWypyW0Ykzy25MaUKzme8cljlaAWmBpI+ZWdpcDOXLPk2KtpZVK7H
VS1Gb8C2y7rR3ue95IVDJTCR5GPENghRWXXoJw6etHLGqrIQu0eVkk7Spxrhu+Yeg9xlFi6oviZ4
zuoaBc3/sXdmzXGb2Xv/KlO5hwr7UpWkKo1Gr+yFO8UbFCVS2HfgxfLp8wNl2SQty3Hyv8iFp2qm
7JHYYHcD7znnOc+iZ/aql4qvlaoC/snNUdXoniryV+QMe87opKTdXtPQdYDc7yvBPeN3zbmKzHZh
J3w0shg7T5/lL3ngNnG3rirtYBlhsgKbk9xKxAWzKiy8UlrXsXROhqI5TOALfHv4WHa2eaWa6sGB
R+vVIxtLPdOh5iVYzGjFFC1SvW28OJFJdel9rwkakLEhXIk4PwS6/zhWYlylkr0OGs1cGq18p1cA
EBp5JkoaL8eqNeFiBpc0IRfKAGUzGI7oZZ9rsy+XmWj4DBtzizBQWRAFftF2zSmCHimh/bPS6WUc
sCu3sllpVN7R5lW0zbh64uJ5yOEH7+LW+Vwk8lVr1M825uV1ldM2BKuAbqds+p3TSqtaVolBDo9R
UeyGuDnmRXoWOaoKSKO4FvgdhvG+8W0ypY4o1V7TSa2AYkftFdO1ak6HoKobsryifoVZAIJOzeS6
RKml9brHXHQWvNBLaefa+NzQGSHHcG5zR1lAz9/Xs04za41tH2qLAG1mN6kbX2CTNBrdJYcdHFDU
xvh3LnDt4u6r/LPWtBdg7wSekw9RdNGVpVizK8j1VKI/MWvKfzhE8UIl/JuvCyslJ1C0FWTxaKWx
koWuHGyI+eBYUkMb1ycaNanjzslLBQgaj7dFxkIaZ6EHS8+/FbX8nNlqgoVRejeBJxk4qdNglPrS
0HBQkmtSn624/ALh3r/AePkQDTbHhCyfsyLjYbAq5UTBftEwCvbkqX/pGmi2mTlcMaUgwcrFI4qi
VaXLD2NkEb5GUi1RsMts4Hmx9UanTQjucxBXQAs8KOxxLfxiKZf12YnSvUy80dSUwjUq/0jWC0HG
ZrLBIc3ZgV/d2p2/5MoIQBz9RpENFVVIQdMHO9orh3jwKkk9DDwGZ6twroyx2WDDFLl5CiHRStWF
Sgz6Iio07CCtFq2ZFeHp2uiuE1VPYVUmbjvClDTT1APV/hY4X6PSumpa7SrhM6EOKNgq5+miTe0z
8uQVSbJ8iwI6bumj1xFTD7Ak4nVYoQeL4tTBHxN7W17OthMkRUawS43gGMbAPYiCxF6XlNzjCx03
5A5cDYRtK1nJyqGIMNWwSX8aEKl0dh1sh2JwfQlsWduHDOkA89aj3EzRluOYsEOdED19WEkhiT2R
vzanscaw3uwIA0I15QTNVwQjEbsDbQ0KBIxfVWyNocEjSLzujOECq88YD4xq3WErbCTlsS/KdFsq
/Slohyt5LDwEGeOKXcy+qJyNhGwS6dXYrfpOfUmcjlAvy7rMQqL+phRfydc24t9+SmOj9st+6j8r
CNRfo+brz0Bvfvj3joq2iYbK1mXDMqFtvO2otE8YutPPvMZ/KjO49AP0xtBCdVDRUvl//NQPBAlb
WjJJZvb9/4Wn5Axpv8OPuDx2B7R784sygb/vpwzCj+3Yr6fT1N5Xtr+YzVjefDDn76/1NrZgfoU/
rmDP3hq8hmxh9+SwCEQU/K5jw0fFLIdSU04NURK1vCJ5gqn7WYjNr6/z/p38+TozcebNxrGQiJ2v
IwMkjENKqS966/nXF/goFfrTO/lAoAhAMoix4J2og7UQ+q3FICuNriPhwSs8IEK3EZ/LbtNF5xa7
CyV6YYsYBGe1uGxzLORLVIF70wjwFkf0quOded1zAA/Ob7mSf0lSnRcpv/zMubHefhZaJPltX8+f
heaxXwSCuO9ItUe4c+rn5oqeKBq/WdivVfyjbUZ/Q76abbz+9AsoCqE1Ml8/O+APsCQ51korZGs8
AVZDrVewMLhIdFVj3i31qnQdbPy7bWzjwTk0C6Prr5S0N5nICW8SsjQhzKiAckp0LyTazZLCFmAm
zR7UTNv1vtxgWSnFyu2gZfFaSxz0rb6N6ooAnBqVXgluqIpqpbTjUrTjOpxOwow8oksXBWbImC6u
a0wmM/XsTzFupA+Nny5oqnC6P2htij2guRQ5vwCROwwiroXOZozLZWLcYDZZLU1m2qnCImVUSJPp
MLDLvFlYUD00KJ5HSVtUfY7gUb+M40M8ZGuRq8VtZuByqSHzKJybVjeXOi1uPA/ARhToSz2qiLCz
mc+LJP3cwmLPsqleOCjMlkmg/w0D6wMJBeD4/YOvf3hc+shp4nZoppO81jb+drpo77W1va1PSEou
2g0rIA+PRxdlOoypXQYTZfgsbeln1/LaPBAV+DfKovnh+dUx8YGvpadphzUKt2yRbFFoI/Cu4U6t
KvlvjqOf3Zlvj6MPB54dZVMahlxHIq3zZniuApJnXSBfFvC/Pi8++At8P5HePgSM2W+fQof3X2tO
pJ5CzY1p+TGBZ4Za9HTyTCin/u/e2s9OQCZsiBe2Ay3k1Uz8zQkIAX6wrFRTTz3+MPn0RUjnX7+j
+Z74+B29vcCHzw7nOugHgaqeGrGc4X0sWxrkUv9vF/lwyjqDQ49EjOvJEfup2rXmjWo+/voSPytJ
b9/Hh+NxpFbXNUqz06wOG1IgeJOp8+jACX+90H91d3SIEKM1xbf2v8+v/LUox5qQ1vZ/vv/X5vu/
Exa0fGqf3v2L97rBuuxe6vHqpUHu9WOnNP/N/9M//G0PdjOWL//jvz09Z1G+jJq2jr62lJePOzKD
m++v26M7/nr3M6hp/rEfjZFif2LRr8JHkhX6orerNYUtGSwl1DHwm/Dlp2f60Rjpnwi6QYYKBIXZ
yLuIX+0TOzWVcCRNRnw4/9GPj+H8/S7mE/zLGvr+Xp/1F2zpFCQeiIwM+AUfgKZBhptS1zmWXbM7
VY0osQHqxNfqzefy22Xfdkf0e+8eqtcLGbicYJOKhFelWr4/JZQUMZMZ6+VR7gznFvMOAPOM/c60
IWXAqKET5ER4No0/XTOdQCMyFZ2YRCv4XBYx9TMYnb1iZeTFWLUxnMNRu9LGgvxHcwzYGYgkbohS
xU3KPvd+JQQKOeR/QgfDNhMp5bBIG8WLyrJQvaJPO+SKUgBJimCW/CFKRmz3bGxfl03+1Uj1/mjp
JQlXnVwiyS2TFC2cP2jYIHaARLOxiRX1hXaSXw1PRBqf6hYXh6xkHR86Z02RXwxcUvIqWPm4plg4
jOS4qBiznYoq8y7Y8HmO7q+czDOGbOtjk4uHRRah5FeW6Vh9w6v5asKoRcGwpdPENd6YFF+Qqs8W
iW3LWapykKyyBuAwzF0aOYfSyWByTSqHoiRp3/S4yTe6H8rHvK0gfAr4YlEqYQHTz9XfOTY5uNCk
2mJJUIm6xsX8dlSkB5RhFSFsIbNZ2waqteg02EUB/iQejnDsMPX5JRg+lcSsb2u9JafAtPPwqsHo
1usspfacQYYXkKK6IOYJLWSTdPVSl2qsw1E6V5ATiG9VlO8BIH95K8+O9m/O7ddbDK9V3FXZFluz
Rd77W6waia8JBrs+Nl721GOyfj1dWwsJWnS7yTcY9TLYeliSeLUHO3mnrzQPeMT925P9Q+3VedQx
ZYXEY8y9NCSa978HMu2+C5qwOPpqsGOJN7gJfhLIbXUE9VbieJXwQVBUE7TGt+VDYNX+TuE7MpMq
c0cLnj3sFbT302NLYvaqUcE627Zc+fb0aBko7WOfnZw/DfdVWrLIqit8GhtwvwFtL8m6NGdGOHjs
eNa9kruxP7kVkRZkCTkbwn4Xo6quEdsrC6iJM3uM/XCWb+JBXxaaXi8KufT6PrhQfXYVSQ4UgBkn
bVoMHIvNaz842roK0KWizrsN+mKjaNmhG2zSbOxyLSfcaJZTIQiX4+tfHyPvDxFYoLOahxmL8xJi
p/ax9DuT2jtl5tdHGe/sNQcB2HgNzYZlv2cUEWvL6u/sB37OJ39zzQ/fpjQIqFDkcxyrQPsMi8YF
PyqWU2Nt9Kw74PQtYzADIm1VqGzTBqhTz8cLYv4QWEqEekX2gxw1FdJU6Rs75xWNNYp2wpf96asR
VI9Zj+K7gv35L9vlN94KNeqvazIroP8cntqXn8EV/OCPqsyWh/2Pbpo4X/5Wet8sgGCtQOi1HA3D
DJkW/UdVtj5BHlbxBJsnPoPe8w/CizVjHEyAVPN/HoHxp5OM40PFqhMjChiB6kdaMWr6rsrMsT/J
xbkOdA/fheWbD+UnBXmu6+97XIjRJmfmbF9NsuOH3pCddaJ1FhZIjR7vIutOkgk8vWz0jeKfe3Gk
VP76eq+hIr+84vwbvWnbVQ7mCPpwd4pLlMD2GLSgk02hZljZFg2eJ4W9Ey3RWWZi+IvGXJkxJJLK
xyzDa7PWwlo6Nx9BcdUtuc6wRmbMWGkKbaHZ4YUBnEweaOKWAMxCSr45AM45wHMxI9AWHpCLOMDx
hoBkA0MwkOp6xqyzGb3WgbGbGc82UKiugjIq1v44YLww497WjIDD4Kvxeo6grOHRD0huC7FH2VrQ
BogLCRidpRFHpG+zmQJi10cga4xcfPLwFj5xckWhnAWgPHz2bU5uyCIBriexluIq3dYzji/yRwGs
PwDvixnnV7CajwD+9ZJiOW8CQhOrTalkO0Am/AHFPsWthfkN2Ruq83UBWQDrR6I5lbzaVGYotZf0
D/wfXVYPxSlltm5lxTpCEIKqjVHXMuu06ksi2xcmXEtJJ9fVirZDAu/S8bEuSY7jZN7j4Ay3Axox
udBz0Yq+6ob8nMJv8XpDPwyljj2kthRJedGSF9t145bUjLM8VW7uVzCsxwuMui/AkItlO2WyGxj9
vhHyfUX6oa4XM6NnuiWIJViQwJ4coy4/50lL8hv0wSnZyUViLQZsqhZJC4uoGlgxNgLrYX1MvSa2
bmGX1rjBysFKzcpu23V9y55FhRIWVeNFSlzCqrHVfZo9O1J/0kP7qulqnENgwC7CEGFvme38NDp3
uXTdixwXF74W0hM8O3IWVtY+WyHMSsWML1W8K50u61iIKEusZEA2xsu2K+Beg8WZvb7ua7GSoUO2
po2fibwsiuKaHeQ58ykO/QCNoU0TcTWM4RVBVlv6hKVd2g86Fp14ttQ3GC0wQ0f1t1wT3E0O3AT8
nyZQG6JMXSURLzIBv3lnLitdiV1OsK2asd3EldYjjIIw+ODMSvagGzHZbdl6kA0vxdqhG/x90xSb
2sCIC8NZo5GO5F8u1V7ass++HO2gXfiR3Cw0elKcye90kstVnhD4TkQZ50Y6bhLicrZ1ys4kQs6o
jdIuaaYbaO54wKftMaqL61jAsooFtzWG5ewN1Ceni59iy6ZOpviuxeRL9k09wjPCvdfwhb15PWb+
qyfR9UtxxPy/eT95/v88iMpAi39d9P5XWkb5y5/H1/mnflS8edgEejQZv6xXIucbygPsT8ZA/gPT
4D3lwf7EY62BwxNXgOTPYkb+AdDbxIbDyJx9qxzn1Tzzw9z5qzmUifNdRaISAXZYQOfkPvF7KiZX
elsfgtrq41iz05OkVJ+DCBXLBIFMGY1tqmT5IoaDjcuZZyGgkQWJJlpw4Yx0oza2UH6fVduMFf6c
u+TWc5RQYMgrdv3X/RwyZBM34opgvJBbf2lKBCdHSnsXzbFEKflE4RxUJKR6kybNE6tEuDqK/sx5
37ilhGwlMIb9QN4RlO3KtdHPLGVN88xR4DQ3xyPJnZQuQVoG+Gtd61pzjBK28abbztFKORlLKsxr
HGTSfTcYlIagfYAZPTBsjs+FbO4Uh6imag5tCgTxTRm2k0Y4dYucZKfJUe7FHPUUz6FPYchjns5B
UPEcCTUFhENlc0yU5W+1oF2Nc3xUNVvOqSRKTWFwaK18X5I0FfKe8KuCSZGp6lUfJUsRMFIm5FP5
inrj8wyvBFTiBRsUzqk5zqrEjnpBiOgm00aiIuzynkldgo4xBiS/GtDxg+tWjctHuervxknHtd5u
TqVG6Uqx1F3EVf04BGIb5ck6KwG+9c4oFno/4kegMamEvk0qp3qnVQDdXdSf8N0yvSTppqVqQFiY
HFz7gtpBqFh0V5oUPhupX6xxFnGVLkn2OB+1w1PpjCu9NJ8w8i3WODiuoW8G2GL2WXHnKGF+DXmw
TF6iYHruB4ZqDcWB1ZVYDSV1aNtPtRIffe7vrdzm8mZoVVg3te+c9MxvdiPO/LqDMU9vmZu2JrhI
DmXMKDDeP2rxxP42KrJ+nRrWPXSvpRVl4UEbipdqEupGLoLZV82EnPwdT/n3nJtb3V+cc9nTc1H/
5Jx7S+16PcwAAmxdVVHLMK/93tnPWS6oNThq4LHPi68fjT3Zduwg0e/RviMYnEG6P445FZ7YrDLE
JxhyvPVP4Da2YR+POYtoZtmCRaHMYh79wzhZlAaJYaPfnORUuwHJuVYbYw/d5jIZcHHrhR7uAhla
raJv4nGMl1mS+CtfmL3bDp0PsRCBjTXSOBSjdCXrE2loJcmweFCZlHblspUrXE8dXiu3ihASdqls
nQCqdBmm17UFGXXKC3uhFMNBqvChyHIISqg3JFcaDH9pYUpLKr3KDrPtq6OcZzfk5xkHS0z5Ray+
2mWpFeoPHjE1tdZ64wQLWxS9a4Yh26I6vwlzGwYSDguQOZpthZEcO6vAaxKFCD09e5mq8K7GonuR
qsam0KRraUqwsalgCk2oSCYj+GI6cEcq3HPduoBCXW9jCD2B9izCp1pzWyegocYRvZ9TMRFH0qWP
SbrM0yGB6NRAxRjjp37imB/a+rkj6lNpCYhzZN4QNqjbprbP6DGR9uWeRDhxq+wG3X40YnNbyHgB
OKOBK6plXNRBfY6yYVjogs6+GJQTmBcrNLmDn4EREh5ImLEFQbO1ZoI6GNkVTaJ+6Ujh10HNL5vc
7vZ+qqUQ4kJlpc5Wp40llBUunp1X+gXC+ASLMz/BprimE4d0vh07gAwD4SdU3KshaThypk7xKi2z
3FeunulAZgMmqbygasV10Mqa6yvOPYHO8YK4jnUlx7smsW50Z3pSpCBf01gvWo69WITEdKqw48j1
nC2Sy00vC9U122qnKbyXqa7WDstGN/GVXD6XOhtd26+4MGuqMilOk15/jTA03KqsXbjBn5yCuLSa
2WwXJspDXYlDHcKtkWw9Xka99jL03YuwxnHVtAPDUWP7G8Kyv8ABwraKX8VN5mC1qO+uCX5o9pkt
70Qcfy4nh7UI0TdGEWJALV1U41guGlZeLEqB8iC8IXNtmmMbTzw+4iYM/C9VaNkbWOID80B2TeAf
sii1u680awsHDe81o9hFcPEog2a2shuiswPjtg7lkMkzNxnKpmtes7+oiKOF7V0UXgu24+YR3DRR
58lKceYvb9BGVzZ9c6n4+j2suxqiGBa6TZPnu0Zl/TUg9l2EY1QhCE1bdxqa4iGQEQ7kTBznGFIq
xC5yYYmJxVk0uwPqixdBi62PgB/UqHAlS63MPT+NO6+JEtQgY6tuSaYLCdczCUNXu608ESVW2eHW
UjCiNfldFpWpjQuOReh6WXNm80nsRAUK3FabWIKSX0B7iCEuuyWsep40nYx0WR3wkwwtIGXwPV1B
/sU/SLpxjgMH9YC4VYZ4b9TdrtBAJvX6Wlig4FOTrRGoscJE2rvIE+Uohu42Kgz2jWN4zvTuMgkI
rEmGA17ZbJ516q0gtzsr4jtTEAo1yJuxaW6QUciLqsOTB7o1KQDpcJE0lWfJdbHKRrsB4RsOfq1d
JszuHn7enqWWO7VDpzY23Tfd8B+jQDkR4XuURHmuYoseTTRffDzPF10yPaQh3QVBbLaXx9ljk1nq
wh+Ja2pV4nlCfT9IZeEJvPmJyp4TkFA4GoQWmbm2Zv2oemEx7BwjKr4jMP+W8Bkw++sS7j6lTyRW
/0yQNv/gj2llFqQxi1BxdU3mfyjwv1dx+ZODj/1vOJsxDwp/lHEDGZsjmwwxxFa/nVZwC0BiShm3
NarHzAD6B9OK9sEEZZ5WiMoGizbZmanA0h92DXkAApQKG+thOQ02ZeCvw4Bmudb6fWeJ0YWV1lwM
nVqsNXniRhq6M856E9lN2ZeapQjxNsQyjaHhORqwVNCb2iLWw8rtQh2Zj9SryxC9Dqjy7BveD9m5
QtQWGnBzsRXAs0Oe9ravXdSGvrELx1gaUriuxvLet4PCxVr6MNUjfW6RIKRP210wJ4gSV7GboAbA
yrEOpqrfBgZ61zayLx3wwGVeR7QP9ZMKgo2ZZ3AnMpiifRSiUyBIw03EdDBzi4DQpHEVTXtw0uLe
xIPQSRR4SOmNZGSH1u5Lt+7D27wGGZeUbJP7+HgSDU2s6koJpM8qVqYBizE6FQwK6xLYqXgAGDtq
IYGYoTGsxcApwk3xBM+RbdaADkqyWg8L9XChDGlKDNuACa5fjfAa8w4BlgBSiLNT3Q8qnsTgbSEM
Z0rPsZ83dgEM67WRtKvYrKioeHobsJRdSZ3Omm9+VdvyJunIwLUVIkSD/Dzo5moMs22kEiDsW83Z
7KzbkAwWr9THB1Jg6Pp7o0QPCDk9zaNipUUj+ZSqtW7r6bIecmsFvrQblPQlnMgis1v11gxruOWp
6rtmQZ6qsFRCGKzNYAfX1VEPtyZtjIzhpznGscumbRVZgmGpiryonWKv1Vqxrjv7ITTRwHRwtBaE
LK0ZjfNFkhVfE8sslnHLgKJWCh7O1nKUA1x2xk0EOWne3nypa+0F7+OXvpCDTVDpx8CE1ylwIh3Z
p3jxmOp3GjI/Mn9tWjVymoq82mWGuU0N5WCQ/FDbATUwjWpvHJAkqIE5ru3XUSo3utbrhXQZlf2z
MyV97WJAHLsyDcVU4SBv0WLoElGuFU2HY86FTJ09Kkg9JffB3qhzn1LUw1MCszZCZCCaDO0TeCG3
LveRc19ogrjwueMB/CJ2xSFxN7GgQHGYW64y90gtXH+8KtIrRwRLU/XBhmmoCOy78EWjoJam1yJc
gefCSjskPCXFfO7JTJ70lTT3aXI0dfuR1o0N21dt7uVamjp77u4GU4Ny1fBewpbsW8yevQYWM93g
dCoKnhRkPThlhOXZp3UMM1lelnM3adJWpkDXLW1mU1xGuk6eAR2obWf+djCL4zCjxIIu1VGLZ71B
qlrRvxJiV+LG2iRkXkvosec2tzfm5r7CpDmcpDVdSDw9qnNfXF/EMZ64vRcV7AIrn9tAZP7TODfU
6lgd/LnFzum1wWs3uRJKwOfhnRQkL0nHI6NCSPPK2fLZAUeZW3cHAs5SpOlNlfvfnLm/DwbuO21u
+Ys88HQ0qCyx6SdEUOUXkjoYB4VhQYqy6jiIEYR/niSINfXxiWa66Hy/cIOaiSPsxUHUiU0nzDSS
OtF1WHM3GzqqljqNQ5yP+cYHP8Mwa5wuSckmGnheWzYZIYQlY48GUWEpc6VFSNjdQpqnIzj2/kqg
8FoWVatvQr6veZZKRl4LnPuSfJN9yrhFshT5HlRzRRU7f67v2jQNcDWLuo5PJOHWD4ljNKQUIdCM
3aaL9x2Bz5Pb4mek0qj6+bKKo+az7QThb3S1f3sCmQ3XL3qCAkjm6SdjPT/1e0OgfIIqAxkY21oL
Nwwm9N8bApUYOwPBFBs5HRXDm4bA+QRwwx8xc8Mkpvi/netnsBEfOYg2302C/kFDwFLuT3M9/J45
13Wm7NggDO/hSzbvQSKZvn5KptIat5OJWuELK5/WP6kA9Fl2kGJJ3dg+8WNSF16POixN3GhLykZH
jIVvIjZKq8TDVl9fNkYmb+SeTAB70BDOiOJJGSdiQIzoaaqw6820sIE6aLLXQKdS+THCVueOPqT1
ygy7UGE3UDVGsr0jh9hQkEt/4ZiJgMyWEQxSt+kyNNt9l5fOQrGie6GYl2TB4IqV1W6BHbCY1lEF
CCvkjNVLXFxOdPOIp7ccgDCE0sJ01ZaYDqdCdR/V05MTo6onG2DTYeRDG6+eVblND50+FSs7MfIl
PnUFVKzqm+YHT10MUJpJlteOLxRtYzmSpCUkFPNplh9In74v84CBj26CZVWeuXRWCKmI5FxoBY3W
ZDs1NiXDnpye2FPr6aWz/RWe+3Mm0FohILopi3VDVErN4kmNFUE+CPqKWmgvLaa2OG0gS5DnIJwL
/E02k9HDdMHUYhFaLXSIiOgIkrnTtNyQm+ANRXyTEtXTtvklG8Z9KHWun0UkphjZpeAr7Uiq8OQh
qvN1iyPRyjbLnYJOFot4hn/Lv5Bnl2gRoaFJUUfvaFbrSyR0pf8Y12mgeo1WBPmlNLVjuc4UMmzJ
ekHCMhGJtzBF8pV8p9UQsgGL1O6r04Qr1roBTt38cdT1L5RErBibwVlkYti0Y3jUc9/26BzHFbl2
33rJZEtmj5/JcLxpp+GSqKZHrS7Zr02fI8G2xjQaYrkD/TlSBwJEgvExDSsI1G1pubpGQyiQ6hsy
k6RRX/rYxlu1jc+sVd2MEW+rTDtgocA++QMR7yCeTGbGsgvbBDWH6Xgt+XObyfqmxIXuzei7aFNU
OSWUVCxvj0kAqcQgG6H2J4JLFTKOMuzopSL8GiQVaSDdOK3sHqwqHoO1KjWf4V9tCh4bN7fzgX0y
cIbVTAzsc165mWyHXveBLaTz6EsPdSvvyPRV8D6Ib8nqhZwO+w7AhnHZsYHtwf6thNjjttjlnP6L
MGNxOhtqh2byrQnbU5npT6LxL8yUUT0Z4yMAxr6cF9G0c/u8T+HhaJpwY+bcOsQ7APOsfl0Nmb9o
IdOTlZU+5Yn9ebIKL0uNrdxgvYeL1vUkmbPRgD3MeNitJYXXA+ib7PQPeFMirwmd7TRUez+wy71f
NA/mgCWBbV1LprkNNfskERgTYjlQ6tMxy+pNUnBvTuaIEbuCJlGowZXA7CKRi03QRcjyQsdLBifH
qGswHxvRbEM17q58W8zZTukKbfLeJOfxOwHg39I2a0n+urQtX9L/HIu6/dlyjh/8vbppnwxKh0yo
LyFwqIzfVDf9E5wG5lniSb6v2X6Mu7r6Cd0BlQ8uqI49y2z09BtqrSufNMQo7NNMUzNg2an/ZNwF
GH9D3TBIjVWYtyGizrZ6uv6RjkIwQdykU66e82LYyEl0YQVEPou/y8JRX4vkO1YKcusZZ2e2J4vF
+DhVS5x5hh0m/dkweIJRRNi6Z0zdbEsVMS+gSJZ6YqWVtjhhr3lRJeWtpRKKUgIuun1GY5/USkLE
m+EstcKRXY1cOQwDsKby+/qhb8rSzeyQQ14rfWLP0uuSC7pqmZ4LOeKRsPJoYVcq4Q6SCFwNGwHU
i/a+ynAwiklAy5VmmvPEN5qW5CvfFCtVN9plx5Ju2SQDRxDu+bZ1cPQOwoSiPYR6WrjMs9f001dS
NhwlyTi2kYzSsYddYtrOtnbEsfczqImOcstjnpLqKsQSuVy46ER7aZBb2+vdvWPXL2pgPQbZ+Lme
p8qE1Aa4otHZqP29aWXRimXtxnT8et2QC+NqdX1LuMUmsvXARQ2wx2f3C95XyUpkMh5RgqVeWgwl
HhUBDgb09ShJpkclQ3k86fFJt+uV/arnLLVlNefAWcpt3eCIQy4VmQPjlVV1a8NRNwyS0qJlYuMX
1SKQzFx38cq6lkbos1mLhtByHp2WgQ6yaIePyqLpdBQ5wOw2LRrfX7xmlPtmj4zWsmkcJNFxRKJt
X1Y0GgqUSLXv3GGks+lDJVolSnqu0jBeocJeT5l+CAJcYlpFXzuCzzbsYS5KJknoJZF8OQ4MAHtX
WIOMqDebu8gEWA4auDOoYK6bvtsSWyiIQpe/4nJMylA/3qVRZKwHbUIFBTLchLFAAl8/E7b+rPYp
DcSgbIrU2bI6Uugm+nWWGJdZYi8HqzAvLG3KXTPNv6KafwgtcmIys7ihjsdLvbKSTd9pa8simgwP
PzvXndrjFgOt1nEmU4awespjImFXE7L80TVMlLiKPCRkKY5qHTQbva/ypWz1K8VG/K5U9bBLUwOo
FKGOPBNLdO25l50tOjGCVpiqkZaX4i4xNFbIQa/IZBFFc3keSIBPYnWrMRYqIjm2M2ZgV090o1dK
Ir3YyO/R2jeXBXfjzaiKG8IiWqDxfln0ibKVMiNjNyousCkolhKRZUYEmUU0ItriaNh/NmOr8Yag
PASR7LtNOdABM7bpzUUZs4Fum03ft3NEGBOfE7sils9xXRwSk0dWy5MzNXGfStIWNQse+EEYEh03
ZkQyRc9mP2ZIqNG8D51yFbbmeijal4Q+FYqmtMjN8qGvPfZX21Cv90krbcgjwRJFfpwMyO5wzxuI
K4+pfi16zC+JTSthI6USfVJeu4hrZdKRdEhCSJl6Td8IFf6TQkRwRBQQGW5xu5KVhM9T6GStKQu4
uj3pxXXNhrtcd0p+Ihz5c12gUolG/a5tZftQSrFe3RSxcANbr/0N9DeCLt8UmJ9Q+z6sGHloVMqF
TiMHNsrE9NE8omkaWDyjOZ57aMELfe3vhuvigCHAQnrK73Fl2bIvWvh7eqluia5s++vrzxvM94c4
l3dwXiW0S0VxOW9A3xD9ar8zhGR201lYT6W/deR24QyPEjGP//w6UCNfWZe4wL4qDt5cx2mpWdEg
prMSXYTI69L0hfjhOR7p19d5X/2+f5x8ntRAUlTwmp2JK2+uUwFYGZ0SyqTj7GsTegMQhn7/62u8
Gph9/NDevpkPF+lCWW5UiA9nsWruWIp5YiM/27DDFsVhdttbXNUezI2Vurk92st0cRSI0+4az/cu
412/2NTL+qJd8heXxYr/ene//v3UD8zr13tKV2XH0shZBH3/8Pul3TQxlMjKGZ330b+UPfmg3GNK
BQ7mdrgj7z4r68E9Vqt+g9go2zOmXSLtW0FWcV9/lX8byfkG/utG0kv/syxq6A8/gUn4wR+NJCwv
22IpAURC5USR/aaRVD6hG0LxA23rNyHSj70JCckzDxr3Gn1uI2dw5Q/6A989IgaDhTaQ+z/bm8DC
eHc4zHsTXoeTSdbZJ6MG+nAfVYGPZbIioD/oxd3/Zu+8lttG2q57RZhCDqcEcxApyrLCCUqSbaRG
amRc/b/geT0O488u/8dzMuUqjwyRBBvdz9577X7WPzuEUIWtL9SHWl6UaVZJeVg+WmbZ+J4lKnpy
FQdBc6JoWOnyPQVDcFAm1mgV+ZUBqUODsUuvI/jm9WQ26Tqb9Vo2RdJvzLbAQ+x1fjXrugkCbzsr
vcbgRhwInXsPEZinSr62J4R9B4GYBSHcSiTjJh4egp7DWZeUd7KIRtqQY2+rqeFbjuA8wPJTsvam
UMnTMTnQsDsk2nq0NDJKCNaijzcw7Sa/QMpmtv4UNDoxv7I+RIjdaheKdYhN12979E97sF5tmSpb
ylSZDg/WuPaK4aNd2B+xiifLetbUa8R1bzAeCdnm+7KFfWMgwOtddBvNijy/JtzU7JxackEdiOMr
WIaL9wMH5hVLzybV8E5ZGKVEoq7DQtxmAXPgyQJcKrTVMJuqClFuTGxWjuyvPX1aW3V2YGUdYW4I
n9MyiRV71SrD2Yl6YxFj3YqxcHWzlwtL3+cq5oJiOpxeCZYvKn53ht08Z7MXrDJwhbXYw6bZJ+aq
43tX0G92GWqSJmUzTBm4aFN6x0gpP00zxy9At8DhC72wGPBZmZMYNlmMelXFibcrqzG6NVL9Xotn
jN3I4El3I2jXqfE0qc6izMDMtu9aW4Q3TG3K/aRm0ltFSrotrWLVJ+pVY2rPJgOYTo58s0jV+P0s
61DgRxMIJMdkaYSQ9kqC/UuraHh8KsUlTIJgYdfMIGxyXQo+lT7BY9JyMBL23mxz3uIxWwbJ8FBa
8QfHyI4B0C9IKBUoNgnv3lHaFzOrGd6bxpOii2elNDAShs5m9Eyqc6Jkq6uIQg4xr6GdKAk2clwu
7noEyzqQBMhFerQD56S10D/ccbzLpvyTKgp31UHYWYCq7HzwTdaiU5I3UIWPlm6hZw1XETXHsVPe
oRU+NzwuOSRQUNUqh2ogUmME90OeHMY+49MK9PdhxtQnksG7YHAOTcI7VOohoamSfWvqAp7UzafA
6e9tFcKHCEWC7YEttROrr7XpXXtJs08p13owO4Sc7txr5tUYeS1ZEN/KWtvZYETooNqHeHOgQh1K
xXoNx+b9fFwJc+umM61zFE9bQ2bgjjBTpPX4aLWuu0lCvPsp2Guf8zSmyUppMe0U9O4O5P+7WD7K
OtsbHp2ABhxddXrf5qDiOhAifmX0OzhMsc8Nqy5gpl8hxr2WRuZtnZQex8l2NzoQpZWAy7sKmqJe
6aAO14XHlNBEVkzKLNnlTukPNe4NHZTbvOKySmnFKjW7S0GafwGHVIVPNd6GKr4VjbGZylvAmnRr
jPYpab03y55Lyh37XrfNk2FWiW+0o7aAoBwti3mJk9GERVO90718LZwIYa+s6Qiv4FdqlthmqGGk
KlE3s8b2be63dgrvNNV8dTIml6HuntIuCjZhqChrzu9XzTEk1LlU80fdedVjqjy1XGDwtEuiYjNE
JyYqwUq6TuP2k2ym4C6poHOBR3+Xxx1YLQbFb2Wk3NhF19GhyBoRxw991J2lF20zy/00sQVeNQi+
i6hU/TSrSs2Pa4vwAOfm7CELFSc8TZSXLRoArCtTsw6WK995sx1DzsaMaSqeAUF5CK2dARpnegw6
jBkOfg67USp/auWFkvibCMeHgfNjwAGizVYQI5d7MekrEAJi1TbWLc6PU+sp9cKejSQJjhIXZ4mq
SGMhZ7OJBV6BnXz7zsCHEgfqXuBLSWaDSorpmd9mevRm70o1vs+s/pZu8Qv3A28CLpcMt8tkITE1
YSyYkOcbNP+WA0xzl+OR0ex6r+KZMdXhPtc9yqCti42npvTMfOHyh2G22zgCjv04W3A8G0JnPNty
chXrDmvsso/LbY5zR84WHgcvT5jA4Cpne481G31w+2D5KZPdNJuAlBTI9Gdb0GwQymerkJxNQ95s
HypmI1GqkjWEDKSB6mFMMNuN/tuVqapBgJOc0v+9K9uIj3n+kx0ZP/RlR6ZrfwEIQYZCGcKW8m3+
mxAaJHi2W9zoRL3m+d3XHRnbJEbPX7ZkX0d7hsdoT+ff4j8cSGb/yx8IV9rnup6vJw92ZCTA2Nrx
b0JuNT/bab493uRj7ehD63pnPSOYkVjaVG7kZzHCUPJIpwIyq4Nnljh5a3yWLmAM5v6EnAEh+Chz
j8xVlr6mrEtjxbdBp0hyNE1uxNIQwyzcTLt8MKpV23m3qdt/EggnPuIB2RB9ozg6k5h4GVrVRg2p
wsmNm6FUtkosXi1J4tpJimOY9LepPo/LoBGH0t6SmtuqCUQsg3r3GPQcXx/a7TTvRp/UZayrLWMi
S5BAHbej1gE5VbTXJINKirNvJ13nsTSd3ST7NwLbJ6QkQcEzssyTh0GgCaiiY48AhcBdpmyWIMI3
0PzUooKlqKyZIAB277Rt1RTkzkXn942KJmAoEu3NyUnUuLxaYIPLupgesro7uRPOEnAVANhSU670
GKiaqW8Sow3XMqV3XpMhAbdee3FTRhU1w6jKBOilFe1TNgTPbZLcRXlxHkY2QkoWWOusJruQq/mu
j7EaenE9LDSGMUu1N7tFkbnFpow6gyrZLPNtz2PaMt5mVrqrcd4sGPh/GLPOXajMnhayCNiLMcAw
wvEFMRJfpaZ9anRlr3Xtrm/GY8Jqsgi8BlMBmv3W69v+WGCbp+xdoWLebo5TKj5mSt4/8nkeGut5
yuyTSXwCB8FFVMket+Rdjx8RZxBBfTpvvQq0vZ630yqnrz1clEIUETp/k3r4B0KqpEXtmgohg2gT
uy4TLHRO70SJQLQnAN9tMLEWO94XoJSmiueVLIF3F6RBS1vjqA3smIrJ3nbWCDsPk5RYinYIN9pY
RGzzKVw5OqBYHtzCdrf4j9XH/5bDz8vhzGD6v5fDXT7+5Hw6/8yX1VCz/rJNDqic/VwAFnOv2xcZ
H1AGCgjnT1el7J1Z9NfV0PnLtFk8cZqTRfJYpr6eTy20fwzo/zP7//Fq+KM9n6kZgDB+BxxWBrOO
eQ7yzbDHoPlWgwTeUKRnR+uiEPFyKDLTnW4Zfk60wcR/d8OYUafSFJN28MctrdE1nrP6mNONO8YA
RumkqMYz5xsaDxZu21ugmbXBrqhjs0RkIFBD/tXI1ogY9U4Jkk6HieoV+fMk7da8kMz1ZL501LLD
oGpZfU39N7XQ9YszYTGb2D/hS1P9YZCdB8qoi+QmqUvvFFVqtAsHSWaz7837qkA0p56cXX6Rgm9O
k2ypVX13wAY9rnU3pp9XpO0VwbR/VXPLKjlGRuErLQzDWtRgQXFnFyu0AWiIimWuOVJEW552zKTc
3hhvNUfHT98W/SnNnf5GYwe1lEH5qehdiOODrssXN2YhEI2pt34UWGzHraR5p/egDngHrTd3Et6m
i0R/BIgMHXqKNwLw+NWdVOy+RoiHulVBE7gaa5zVNApnSpVSMU7b6xRhiuyPVuIUqDlmQkDHdDF1
gJ0ClT2ORjnT0vMi/dmYwGFG05TgltNb/RXUs3VoqzrcjSxIjwbiN44gHYmLFtjl5GbtuW3TN97S
fFd5tnan1bEq/AQ97mRClVpYpCtuRrwBy3C04hsrruuN5wm5SibPvZnoS99mIOF9b8RQEbG0vpn2
II5sO+v3bVa0WK2SnIFGrJ/oVQbtbkd1uiZuxGkBismtho67jiurvhixUS6bVi0OumrDI63TfTBm
E3N6xV1X1jh86s1IbN0yC/cDEAR+t8RRTnFgqwhnNfoTUE6YkU1r46J3800ZttrG5Dy/GCwJbnLS
vWAvpGK/Z8P8wDxDP+qQHM78+sFaSVFXiGmDwZVSPY9ThNaAEL8LYwrb4eQmJ5OG02sk3R7PXl+t
xrgdVmE3BeuaoUu4/G9l/byyzmP8/3tlPb3IuCx+ZpKaf+6f1ZW9IUlOB++zSc5p3rt+WV0xVMPL
oHcIMRh7AHO5L1tNGIxQSsg4fQ1MfRn+ATVwYdXAIkD2ddCS/2SrScLqX8M/aEbkSS2kbJNf4wdl
IJGU2TiTHp0zdTKDU6SzUxg0NXJ3lszzkLqsHoNyW9nPdmT2cuspOQ6UflCQUSanfu9FZnHnebE1
0Vrf9thuc6d5qA3MTe0MJF3ZUYJlNlbeD7qBoBROpi90oAD6YGO35JjGsbHt7HehGF+onX7hYG9C
lr/atUtlhK1udAEFWR+JBkG3WQ1dwA5K7iM7AYVb43YKZVfTejS+pJVkptjjx2mJrSxqOhwW4+RS
8Wq7a5F3w0LJHcoEWm9nhkhCXR9sy8y+mp11zdAfl6nhfBgDut2Bqy5JlbyAALkrDf0ZuLOxKGjM
WGOY5nSvT9OGKHrmAzuKfRqYr4ntHPF3AQlM1ynFSMdMFoc2Stt5bIObtnZ4shBdWtDlBK5gSq9d
Vd5X5lSeDImnmEQ6aaPZNSMzpjrsGNnyCVw7jTFQcpCH4phToTE55aNhVx0l8qjFrSo/TrUcV6k3
Z+Prdku57UYF6qilFII4TrKmlsE3TRYUkr5YscDbR0S/+aU03KOdS6gi508mOZFF7hXv8yj94Hjp
rWtG6BziTUujd3bREMxoErqYrGAXl7OfeD5UWE6E34poa8giFmLq8wthXrFCvzMlBk/2ix/sIj9M
UKHKERANVAPyYDlb47KbQ1HhcIBj4zdqD2q5yDciVoaFbrbYOrVudlO/T+xaLG27j9faEK/skqO8
ha1U6VmQI9VdI9t2Ny3merJmNQxGae6a1Ca6M8d+ZdreTl1nLyyqAPOJzqlKUY1lMrb3REZfg65H
l49ki8lVXXP0eQD59ehQPaNL7QUHH171+ddQu6sysqYH01mkMcEffe0FF27W4sbs2qPw0ss02s8x
AbB1nk7aWg5MxUwvbXZqOR6YqXAKsJJjQb7AnSnpkeI+KA5T3saCDKwlQ+ArEvW8T2+sMjsbnjxA
2rl0tcuUffZ3hY65BsL7zL5+GVn6fdYIag0KZ1929nkkz4Ws2h4UL1iHXUVrZ1C/cxPn1VaGE/uW
j4CK3tWNs9Mc+5h06MNq5JCCFh6VGQWfAx79DySD+YpNISP9QbTLMrfPvHjmZ330WEmLh7aanfVA
u1RsNyovfVUUfFyYORZOlIpFZmQXmAvuMTeiA3iG/CGymTqKEbqyoubioIi29C3qZBYBgoYPz/ul
hwSK0VDcanXwCLpi9A2OswvU3a3nTkeRN6dWw8nf0rFjZy+Noe0ni4v2+m1CE48IvF1UNudaqBsT
IdgoBYm1AG8j537qYtx8Pab50tTnHZYGXsmK9l7bGIdYk2QAh5Qc8dBpTHumHKyDbmAh8apmqyXu
Q5uBcw6LjFkgY+16XQm12TAcxkuXF8WyHEz9MozmXlFj7Sbii+XzmVvn3KHmx+rALNqNMzxMVR5e
ObWJQwJtc9PwFqx6oYit5ijjoiwZ/c0EL4Klnd1E20ahvIT+Ey49lqq2VhJyXP89pj8/ps1fHoD+
V0BB19q/h0LzT355UDMUQgnTeB4TLfgb7/fPg1r/C2kMq9VX4sLXJzUxmM8ULARYdLxvZDr6Jxjl
6K4z9/kxFvqjJzXoh389qeeJEBVRPKuZDs21iN8eg7xAwTjEaP2cD6RbtNFGX9YFVs0hf4il4a70
BIZKreMyEqkjUJGaXWVpnzqaBBg/ZP2+p2CQ/i0ML43abkPyBRbvB8kdMn5F3ibrubYlcZLXPuBw
r8ESAIGDqQlOYL5yGCaTLhi9S1Rl95Z0GVxz2sBJOh0pbb8Pw6YgqvEQJMY7egvyMxFIBZmIE0Ab
O+FKxdeyz0T0EJhULaWed0t9wYBPRP+oKbJdhzr08ByMOIHvQ1LikVUHosD1cKXZ4TzM5HGhVDcd
KPLQrDbWzCbvgJRnjryLZmq5HItTPXPMw8bAWunxdAJxPs6sc+rDupUz888NQOhhXN3BClhHMyHd
A65WSxnvOuDpmkZqpR/6GwIUGFAnGog/w9YHirRm/PqQttFSyBS72XQNPiPaFWDtzoxtF/EEJQKS
u1fGe29Guycw3idY78kMfY8r8O8w3Df9DISvZjS8MkPiyX3EoK+NdQs/nqCTwP+k+WJGyzeNcU1K
51rUH3TI8wxHVu2Moo9nKH2k1S9Ri6ernoH1JuT6ZEbYGzPM3rD1BeWy4IAFoHsb4j1r9RXprrhU
mXaqZii+OuPx4xmUjzytbyZdf2fOEP208zDaWffljNenPGKbzsB9G/K+OhN1XCpOApj8ddHAdAQf
xPorYPYXA2KoZsUPngnOPwcJRa8DhGkP1v8UO6exGh/1IlvTqfAMbKLcZUZ3Bb8GxYe+AK48cK4U
pJKpEmCjA8VYGy/JXDMA8O7kzcUDnSFftbmKoJGavotn8lSkZM6qgu1hrcYcOUGd1tZMqpJJV96A
PuQZOXOsiPqCtHI+462MEgqzZbsfgPz0+84yFtj/1xIT1NzdOlpGvzQC+eTh+mJuQE43LbkE5+ay
TbeyH2u/tXiLXdKFShZN90ZZsLPTx95HhLtzK/vQaOPH2aa91FLrKvA1H+ypW01Zd6NH/VLjiLki
Y0A+t44+JFPp7ZrC+QA+F3OVO9VLi+HBstDq26YqeIvlKWDjtET9LfeFQwtI7EBPTM1VWLCTxprY
cjYl6FYM7CIpNxqBbAafRBlchBzbpZk16rmL2sJnhKEvg4k5iJ6rq0m1K7zH5Bi1bukE+b5PdLp3
A/0pIdW0sO2mOUamop6MXlofVTVI3xUqKTHyleSINBHRr/Tf0+nvQyR+j18cIj/mH4q3n5Zuz83W
/zyc9L/cOT/r6qb548PJhKCBq8Rjlj4HXxmP/e/hRBkkszvcJZ5hY/xC1Pg6o2OwR14Whxam+j8q
guS78d2DiWccJCJivKQCCck7OGi/fzA5ogndTA+Vs6YQumjY08PA+Bj0sCdSS9CnaIDe15K1HENq
YxkMy6snM+VWd+ZwCSC43LmGoZe5uHNH5uO1JonMxs74Zins6m2U3oWuMzROmO7zgHOnTVhz/6Fo
mxuelJKi1d7dDJhDVl2peGvWh8e8TNW3sBLQsvShXBeRI5Z9i2GgC+eNbcH/aziVSRpdl880ApEG
CIW7nKLO2ve5s08SVMmedCFaC4CIVtm0evtKYwn7tQpOg/DmtKferVxlPI1hQciDIlW2r92Nm+Pl
zOAvrGiTMjbUDkVQLUpEznSgHs/liz566crlGLnQA1muJhYdHSL6BTwsu/mxEU8czcY7TXuIqT+j
RhoGWxVGS1SD22RqkFZ17TSqHKzxmp4RJt9qymlsAH4Ls4Gh5nZWv3LcYdo0Th/vc2pSOAbFwy4d
a3VVW5WRLrDi9Gz3VXL2JdFSPhblTLKVBzqIgaQpYHrE5p6YqAUjoBhuJw4Vm7w209uhU89FGUVb
L+X4HbANRomZpnjNASUnUWhghgBpQBZE0kDFKMvJPVqyTHdZu85s5Ywiqv68vAzuyKOWG9gSKAbc
2Pkul13HVruI94GtuCfatRkwNl6A+ZQfzk9a1Qa3Whs9icgiB5LbLyGMp0VfC32lmd5TqkE1CZry
E4fgzCcLdWQBzhZuMp6FmhZ+NGafoslaVnCZzmNmjn6Gu5CyKTf1vRzEMbnFnewqZ08hj4b1dbyL
kpGPKcs2ZsR/POn62oDhYWGOPTpy3MI0shaN3lJuILteN0+dVSr7EQe1Rq2VgW2+xpAq4TOpNcM9
w9drBpRlIpqjrDx1SZWUcSbMaa9lZVHSYHLEUIqC3G2vo/xP7YYB+LPoHDZtAz4BZaj3ZM+NhehC
bW3Rc3qTYoVQMu8DERwEwOy2aNt7CIenunT0lraC8mZU4nGn25JjeTFtFQvzD51E4p2Kc4a89sdG
GQ6xcA70TB7HqPBWTkJ0fRhXdjGtec1nd8yPVpY9Exs9YPE8ZpE70+ut4JS7Zb3MCPKs2yi8i8Yh
3FURULqk26YVH5Ib8RSeffVK4tAFm7ovIfYqhuXxmUfW3I7KUVFpuozm5crXbLHDRbqicvElk+6i
L/BGFO4n24lZWrI1M6d1mVa+2tWYKnX1WgJMjhDdHYbyXk/iQEMXjBqLGsxB3LtCPTNSuLc71eUm
9Qr7HAA4IGQ6fSor7UqQYee07pIs4MpukDYxjh0sJfWTrnuJbGNjy47OK1JvieVe6jS/uoX+wUv5
DmdiTq2NV1MZ7CWuCrY4+IJS0y/5jLOkjX1TazCCdIBI1HKBwvo2jeO7fr4ftTTZAaO9TMVwzlza
sJN5p1lQdFUQ4ObywlJvs3y4Ydvk6xONcsGMb+F4TMSYUcbWsVU/K5OtXdPvY6lzTil+s93WF0q5
VdDb0shZjWVxzksVxoZabNBDwG224UUnZhh34XZgV5EVyrGjvwvQ5ksFt2dMB7/iK6Kbuh8AvSbh
4geN+CjFxyJor0PjcEeCCFFtwvb5o1U5y3piSG9yjUb6ZqCfCdLc1fRKMlRbWuFwNQfvnUgmnZ2g
qBdFr24y2qSp8+YODNiJOera9bJPYxUD843WyNV+HblL2yU2F9bRztDG7TDJR1VrGAC4d7ZdPrpR
fQ3x8bQZldTlx0pVI18M2sIx4nVsl2siZHNvxSpSoTgYWNJkdCo648oohALVZuYTE/VgDqWqW8Xr
tm6tUNsk7hKrODYWeQp+UydAw7GtchUozPfVds1X8ab23LVm1Htqj7kgrJ+SN2zI2X1V9KowXn3r
2+KRf8pcD4GxJBpRIpbD7sab56NEvcD39nNXOYim2E0kLQuqwxadTCFc8pCIyoCauggwUGs7GJ66
h6zNnxvi1GPp7BzHWZUUe/tFI7e5SxZjyBgcWt4GhQdbvfpQyORKGc0moPUpDlreO28V5s3WaSzu
TmcDQeeW8rNDSRCiU9o7ege37hCcg9kOYGb7LtBOnHPcRd7G60yMlzJQSdf3eCfd2wQfoKENT6Ut
lqNUW1/33PtA2re1rM95bV3RctUFitBdS4qhK+n8k+wkwVQe6bdCn6BPoxfhSc4L1VQ8jmlz0KW1
KUv8lk3P9Lj3634+kecHmvvuZTnuNb04KLoZnZVADfChxSRD6Df3J73ZS1Wlpa/3O8ylipJ8iEL7
PmkyZwcInVpDp3maadq6mXIwwioZax/sjARCUz2CmNupunZmvY1Xqkw3Wl8frAkXo0bg0J9U7Smy
6nLtGem7jFQugNN0kxraJUndhJNrSQdjb6w5+G+D1PZ7XclW8USkqJa+E/Y4B0Z9Nilg04BbEdqb
JBj2cIU+lErJgTZ5aVAeEbHwYgc1RL7OWbVtuJKRAv+CHULatH4meEiQCNx2ivuh66AAxOoGEXQd
q8MqL0hiZHUy4Bya1gN9s2ND01xDRQxRj4VssCHUTA/jFL9pr+xxBXKv0yPGqUNqBefo5jQxwAf0
8da6chUmNcc1MZw6s+WEofL4+2ZL+5P4w/eji793iEgP+JlRkQHF/CAyNL2Uso1z5axm2xjjZZFe
FYBXv77ILAN/Nc18uYitaSqIaLK6cwbiG5k4VjJSSqamnAf3Vfabvn0aqGszKBmMfnOln214DcoO
vlzpB0G6CIpRmwKupLs3kckwz9GA/O8K+33SPseEo379wn767vFtAsHJqNL98YVx9idHLYrw0inP
TXuo8DqLt19f4meviN0ym2UuY4Dg/v69C2xnUD1cjpfO9JN+01JrKrDwZuEmRrLVm9/UAvzkFUE1
5dBCyB/Nyf7hxNDldq2PahNfYsqwY6PCq70p09+8JgwIP94P311k/vtv7oc6UBrLDrhIgtbTQOOg
O/3X79rvXsb8999coWsmBvT0o1xkebLnKHzxjmHMby6CPvjLl/HDR1Omc0wsq+PLQLdTZFFLiNuy
ZoF7wi9r12edYvQ/f1nI1mAZaWazSCx8/7JSqkbiPNHii1PdVmpIjHznBJ/+/Bp4AmCHEipF/Pzh
rQssQ7FJrycXpiCrzF46eeH34v7XF/nZW0fFCyh1PAYOSPXvX0jRR44Tx0PC5/OU28eIkyK0vYWH
ibY9mB3e7+D211ec76kf1iCWuK9X/OHDijw2s6U2Jhd1UDBmPQC6+M1ioM2/9NdLzMFfUsmYE7Eb
fg7//rD41IUZpcCus0tylLtmx8PzVPjWyrqNrpafr+ga9pX1r1/V95f8vLJ+96p+uCS2mmxoyi65
dDZ5RpQx3WNRKLa/vsrP3ztkaJUnJxm1Hz4te9Jsp8nU5BJUHkbwg+s2v3nv5nf/61v39+swSZww
pwcPRh3J9/dDWeuxNtZKcmGatoCnxG7zOTbJlibJb17Lz96xb6/0wwLHiRgvnmMnF836GLm3VnBX
Tb9Z3n5+CcxV5Pr4Jjk/3Gox5HHXJFpxyfOz1TJIx7Cst/ZvHnU/+wpxs/1zlR8++lR2UTOGXCVO
34SyDQxlJU2GrK2fNheFPIn1m8/oXy9Lx4CGXkKI0KMM4nMo75s1FduLg2GThl7QWpV87u1VNV3/
8Eb74RKM2b5dtukR4w2NKnHpJ+LlSrgcacP7/7kEfeUOUUiPOdv3l0iGIVMEJ61LLd6UaYeE/ZsL
/OtW5jXgDSFzT0+EA1j3+wuwdDrUyNClwD4vay1U/V2MZJB7Hz+/kP+SfTpfyV9MZQuGsv+WC+cf
+jKRJdVH1R3bMuwdYBEt/uofuVD7CwO3ziPH/Hvw+nUiq/FDgCGcv8XC2fLzlQ6BrwdDugH02J1Z
yH/i65lZjN8sdbODnBwfnk4Ng5xK5lD//v6oisps3CiJLhXkTHdbpT0yk+WcNWi2mBBCJVCmVVoy
dpKLtpxUb1nHDi0J6EsNhAE105q73tZC7xOmwa1UciN4KdMsUWkhyoVyYNpcU5DEcExbhTiwwwuF
CYC2F5UZzSWoLf51XGzWJOAZ1B697jh8HVzV3Yi2wIEPS+mIZEdlxgIrcxVtHVLCSI2JpSyMwZHW
toIyTvwiq+EOVr2QZ2Ik8GxaY+ydVeiqBXBY116qU9MqH63Yazb/3fp/CxLcdb+69fPmo/w4/uTu
5+e+3P1Y15AjePLMaE8+bB7m39z9HkRPBycHQXOad/65+w37L0/zIKMQqzC+ufeN2TDseuybZkMb
D5s/EiSc+av3/c3vsd/j3ncNg+cIX6rvb/6sxBs70gF2kxlTty6JpC4L1Xly3HBVOO2D3tj36XRL
lnGjV9pKr9zbtgnvAzGlPnNbwy8ZGlT5eMIwEypvRp/eZ6TUlpohk80o81fEsWYx9iE928lWDXEY
l22BxCHhl3RUf5DsfFbyrnzVGtglBijBVWLGwXoiRtjHZCWCUO6BfpBbM6KHjKkTYuvTxGRKlK70
e4rHxyS99SLjRdraI+i+GQc9nBoUXH/EZL8sqxmBx7jfyoruYVTdZ5hQ8YF+92Cl9RbfijK5T1vx
rI7OtDMzxou1UqAQkJer9GeoIDceYV3gC3ee3KSTuqq8go7vpL9vo/jJjRUg1MVDLZVwD9p36dGH
nuUdXmJ1zY7rZhjjm9mpRb8bKYQ4+lDgxQExUoE77m+82ZRUxPrOJOVVQWsYGWvqd2F1kkxvm/Sp
os9uwa+4qeuJUTASpDCZuTWWJGaf6MyVzGBRWHW97Wwv9wNq+qhXO9pZ0W+LBpU6iNtVXyRMf+2j
DS5rbVKuMycbtlUhPkimHstGrzFbUT0gQZSSWWgvo+uRUGF2qQZdvoly5rcxEofIuZ5g7GiF4Mcc
+apOI51/KgcGd1oWzGsGO/BwjDtHJktnUXo3ILKWdmLN3Q3JsQ+pEjAJj1nkZRuTabBQrW6Rz3an
kAkvLTS0r4jUZHVz6tqP4yYDP4aGP8Ye0kE2XbzGeUE12IVK3KzbmuGrikcIzeu2d+zadzROepXx
NupJ5ZNKvOZalgDCkBtiqvcWzYdVhsuZPaJ7rBRtJ9ziVCbDc5cN76O6fi0rfMBaPwbLybYLaNVt
4o9Sy8CMNDv4jIA9q/ShjXkwTFSG+3GU3Qa1aWAGGLY8CYq1DMmI4nPrFyQ8DGI/Pi7CT3weh6Is
z6aMMD2qhH0EY2nm22WHojQK4y6Z8mehxWji/amYdEjyTb4P6uaoZuDKM0p8hFru3M59TbB9e1G4
sU1dgOCp3/V1fFe2CvhqG+pMsW+l+bGw7V2qhmdMZc95Le4p5+NNnfqjaciD0RantkvniozhVmTd
Zgjio0kvTz7129Irdtq8cx1NHizw/E1m8nI0DqXoD32tXlSoQOt2kssgbB57B4ZYbU7rWEIZawVO
isnZS0+/WnF5gPmCLYA06CgymqQ7/Wyq8hSWDtP2DiVuxEYX6nd1UT+EOZSwITlBEF5G4XjNVYER
ki99KqI1u8KHMHU2VlhsMzt2d6MF7K/DeBA7zcnIPZhtjnFrIg6gCd9mSofXUq38qJW7zlMf1aEX
vqvC3vX09kq46tjKDt6/w0yZreEjD9mtQ6lmOTZLfZiAQqCgGcJ+BtS36RVSoV6/FnH3lMt2W1vq
p6mmRCiO9dWEJy9WOYMunEnJAejHIG9wmAt97RYWa99gGHvaqaaVtMXBC9sjhsfd0LTksTXvEEXR
2ewEfLSxXzB9PfWByYjUy1878poLRQqqrLxNVXg3ANwTTH3DOqtUqkAt7X1MqfVAz6iRKjdakNxN
80eIL+q11Aa+jeHK0P8fe2ey3TaSbe1XuevOkQt9M7gTkmBPURLVT7AkW0IPBPoAnv7/4LzOkl1Z
mb/vOEe1smwaJAhGnDhn728PB5jFj1Ltz4amXanEG0c2CLd6HF51hUyaWIRMXyriW1q+i1qz1kUX
xpvKzV+EYZxGL29pjs5YNhBHWONXja09MFLZV6RBRVEyZzHd9CiCl7p554SdH8fTW5I5FyRV4bGw
KrFTw+BWQEVUChVsS5X55mS9aMLe4L1YmAba0qS1TX+opb5NpclvOXxPIaFSBZXqgTzJI+pv8jo1
AK9qDHioQsHEQyHQRTPnsUN12+TdUzPEl6pAYNWFd0HdbAuF0Bk5uA8FJAM+8104Zo9tFfU7aV6n
Kb1utV/qiY2ZN5cbyyzPQxvexSq6Etfut0rGRHgiaruxb6ZM29ahx63RzkpVF4uIiQrhDZd0dq2r
JJatXJxhi17DaWvYpyZjv/ezBne83w1V/GDlMSBBWocHvWD4mbtZv44qe5FXTHdjt+fXOR0rxvgL
exaLkRWwreW4ccLCu0ahC8NglpVNCnJZfZaaAdiSi77L38Aw+KDekzU7DENe1PAroWc42cm3Kdst
hAQMQLOUrey9fp9gaETaO34UJFtY/IohARaAtmYxnB1L17ey7LEvQx2EMpI5J0IaqkUNKhpSurBC
5uGRmSGqukprnxLNQewM0VtZE3ZG+N5QTIwuJob3Q2a66OFyU/PFMGWrSVOO6AP25HBe6266NiVo
XX16yKvgNqxqjCw62gbs+nrmklWjVU/BYCXzgMCvNaBMfSo3nYkI1mjbtz7piBJzn83AOPUDw2ok
rnlHAH0A19NoCCEj4Mh1oldW1gfVqLeoK86qJd9R2x3yidvkRcwyYqPEvmI8ick6EHtzQqllLKGQ
IUVjSEKoWt+xRVN1M2Crg3OiWqssLW8hC8Y4mqedCO2jJeOtVqOiSxFpecPCKtV0hTE9xM9uACXP
L0CVVn05jis413cF6i+goelBjYedqipg1rQlpdBGl9UOeP9GSTE/OdUhFO2jbQL8LbQ9/lMM+u46
dcWXIJn8JA1vZEClMDJwm4LIr1G+W1X7nkfeUSnw5PDQSdkdOi/7YhtquGjwAIGHu631xLf1eOmZ
ybgwcnsbSfXSpArTDxJ3lyNTwRHxIbZSAlsQ9QdYRzuvWbeJts07/YkeyjJLNLm2FIQLKHMpLYhf
LUCcjFn6lBndMtQsktNr3ffgMtOpznaKSB48L9ig17omqoNA1la7GwfA1Yl4LDVbZZ4MlEABiBXU
JakVydD5ECevBku9CkLjRaqt7XNeB6vsbBIv3nmx6q3hpeFdnd7FCI5OwKBifW+Pts7DEpaDBVjU
wcQ/Cs2HJOWeSw0upomZPOMUFLXqTWZCOIHasVRCY900KC0CK8JVgGVsG432szUgZ/BYaRhOyaOU
LjPloXyU1nQjFPtZ17EWibh6UpkTQnzr1mnTZ0yS+NRuoG29eempmHz3JWiBECz00hLpSSA+SENl
Oit6fcCoh3CSqfSqqvMP9NUNJSJcNBwBH4hEV2hKL2EsxSab8t3gMJIe245g1nnXtswnqfFDS1Q3
XNWSAXE1mldaGl+hjV+akPh3TjQ1R8HQEYOI8YhgJ9wP4Bu8JntGSGJu55+7bcwt3oLdnOaV8exG
uAaEeaMNMj56RoFnTexCod7pIRVNaQEcGLpNCNxczdNjFapwA5CEhlb+0bmQxE1D90PDvUuhkMZt
ckh7mzpzkH6jt0+jVt16sirgqzhXiRZe5VguMsccD4VMHqrMezalcctgpzxYBrq/LrTLtd6az1Pu
7bxGUzCvxcWm6PmHFRDxpRbj24Bks0U7iuoIEVOyDM1cNS5SS3SOEXWtmFATRlMnD8awFV/X4gAg
xKcT3/XvLdHP0eAc7D4doGY1szdroHF8EkA+Nxd/PEDpsapKXS9ickHpKRWnZpIIZS9/fZGfWlj/
exEbKpqGm46j5I8XSQNZG9Dp4rM67pTipBKfrJh37XD315f5qa38+2UcmjQmTRFHdX/qkwYqSmBm
xRTu+sdQ3ivG38w2/+Tfp8+jAWSam5bWz/eq8UaIPnaenYuBBw2U3usvv3+HTh93iBs1S/Z+vE2h
UxCaY1X5GbxLbl1b3vGv//2fRn//dn9++q5NO0WCzFJKthqK1mWKg8VZmbhf3rNk9cuXIsfLnjuX
Fi1+76evInPB8hMBlZ7VZMuguQX1MudeLNmGFfE3DdL5bX/q9c8f64evZX7EP/WRVS3Oe8fOMthw
SwS1FueudsWaOvbrX/9Qn7//nz5U4UCD7tzfL2TEqwKHbbRmH5m3YvE3z9qf/C7RVzJ2dtkdDV2f
u/WfPpRhgZli4y3OjbEOyHSRvhV8+euP82eP86dL/Py4TY1FrWSpxblwX5Pg2VT+D48zWS9YIT0m
Mda33s2nj5BUmdWaUAbO8KIIbcck9H9YvNC04pWg+6Mjdf+p9VkoBfW9rZGL5bwOzhU49YXa/s3a
9Sc/Gn6UGMUZLaIpmHtcn78IDxR1MboT6SYUfuPSrfB43cC0KMVqMv7mSf6Ta8ECweesOVhJ6D/9
eC0gCjTZEqs4R/OZmjQJVIy+Uy1Kaqzbb1/+P93+mZ34n1ueV+/961ee43dm9e24+/o//6393ijl
VZ8anvx/PFdwm4ko0PmWPjU8IRPMtD4U1oAUWAG+u4PId9Vt2ER8fSqp5RrP4ncfL3w/1aJH76Hp
/lUNtvGNgfCv5Y5+P7hpB6U3iyp9V97Fjw9J0MUC9lI8nuPi2hjB5esBZ2/Zevdy0oeFOhIQ6OnF
EWf/rTuab0CAlaWjTKQURhnpp3GDl6/1iKjzzobK2iUV+82L0lPWeQ/TVN0bQ/GBSmldKfYMXHCe
M0EkidvY8L6GaaPq+RFRFHIs4FCogal11QpVHpsBLcH0wQ7taW2wT5KqUNEMJD651K2nNHMewnF6
UwKXNl/qbYequ0/j9rr2zKuYqnPDlPCSp/K+LCWQy77dlwPEh1FpDprLoUkWPXT0ks8MCQ+3SOUS
N+1Ga+qbAM1msS4i5bETHBBaJNC6d8UmBJAwYqF2nMAPClLVJ5Ibk7haVy4CcAODjWZqX0svPhOP
aC9wC40A4XNEk5DKNNGQ5CRxlSZGvCQblVlKoSS+p1jP+ZTqvj0Eji/hEuydMvZW1aAR3AYeHgQx
wRHD3OkkGcobTaTb3gQcobvYCDU5oVgPJPVV6TKMa5MyvQsJYyebFUGXtOmT3mvDQKGHMLyKVpyN
1DlIEv0JvVhAVEhDw8xcgWrgMNzHR077Pmi2jZrJ7TT0EAJRsRK3HpI/bfZLZ4L4GyB1NB2mNWig
30VinTK18Qi9mV4mE1YzGh2OG0F33xbFS4wINLCQg0M4tMyGQMTuIGsn4VBYbEtdVfwoFfA0HHCI
akkZQWstitTH0bT3uaDXmVvja6VZ1T2YvdswN2813LWDGHZMijYySYJtbJENpMTBFkkIsTSVcRi7
VFt4CtrHURmZJuXug9IjCrYrZT14OlaCnsQasg7dYNhNnpUu1FKQaBsWuLcVIiMqsYnjyFmoznRd
6MHa6BDSgXdYIEd7mOgLZJb+URrcsyDh3OPSiA/SezSZz2FeX8sojZeydbdpQVheXRByXEZb2nnO
MqOfVch2n3ck2+nJ9NSjOuaM/9qOsU+e08FL4pUWi2c7Jno+MGjUpSpH76zO7jqzvsew1uMoIrdI
ddIDtgBfTDAqW+e5woW6qDv7VAvndorMDQzARw3V90YdUat33Yvlhrd6Vq4daMYo4c5SqBAD7Uk/
Ji7Es8ouQP9gNjLCdVp8TVMCmDlf+M0QbMp4UIkBMbVVaY3XsW2tXLJ3FsCDyKJ0mqepg2kS2Ppr
DnmJsKi0XaqNudcIw1igE76zJwwYsiRXwaidO/AAB1Sdz5MbnYjquzF0ZaOpabHwKu9rQFhK7kF/
tJ1qR1eHBzCYhcDSDxL93UoIWYl77Y7H+AmDWcSyUMJgR03qGWRVjTA7lOG6DGhA5Y02G510ZxUF
hbXI7IhmPB4wnIcyux5T7zbF9D0fjKtd0Eeqn48aRn3be5NB+5pm1XWgwaMnACpYNQPE63ysPL9O
rINwG/N6MtyNAoKIeKm+Si6i0L4EI066MJ3up7I8GlP4ptGz6Ii72JL/rvhtql9FbZgsGhE1aKdp
KGH3fi+FM/kdhmis52LW11feQrQedwAxKmtRVi8Dsz5OGuRGXdvHnbaLova2pu+FGtnY2ZN5BST7
UOZ8yhj/oGgjmHiTYq5QYKySKO/oB5u/1+T/bPnzDv2ft/xz/VqE73+y5fOq71u+BuJIM3S2fWo9
kiDYU79v+XCR2AQsnd3dpQa0KcS/b/nGb0wxiTPGRwxX17D4o+9bvgElDvsuigHNmJkfv0aJm1F0
n444nDSpcPn3PU6wOgo396citLI13P+OGpxqIrWJzMpSj8G7FxwUWamHwml6shnUsXsxk2gfB+Oz
G4K+FU7yxegtjd6PNTggEBiV+JWhJvAKKuHLJE5gINhR+QBYwx6XmM6acJ5mCRwcMc7SgZzaVxJz
4ncAOAEw0cJiQ2r6kkTCEgOQTNZRFycVyW8NNtCsNvt1VSe4LkYH6qSXjmS8dMCF01hAdUssORu4
6g/FDYEJpUTHW3FAH15nEXE1usfjnDVoJN4axwudvxFUZVSjKKdxLabywOSClOLhRjOmY9R7s0bp
SAbcTgujnaQ5AqsfjDDtWmtJcmq30hszOgrT3qhCuU74zd+KwD20MF6X+KuLZUhj5liQPbbEkZz6
o50kixpI/IpkhbNsm7OSSowpTJAWI81g1ojBj0K0GCxNrSKWsTHWH6nRXuJMvZAukls0jNriWqnA
XxomKORKrENhR09lzE7cujhlgxztNVgHo4w+nCYkbFDQtdQJhSa3nmrByC9EJwxr4bI7OBV2irrO
N0XFxxU47CTusUUwOfZK14ro3IeQTWIBqcSwaHVKpby1B1rEsDMadSRhwYPOKXQ4oLFyIsZt3dta
vBg7Yd43wJlYwvAysa6tydGMmUnnwPsnKKzCEc9W0JELoCl0LBcFmJVlMzIV//RT/P9pP/GDmyWA
kBYpuGkY/FjMJmo0qKnXJFe6Gom1kQ36azRynwaQDv+r5f5n/TM5hvzn9e9SEm30J1y4+VXf178Z
iICSAtklWmDrm5Dj+/oHJRPsOCIP9Lt8WZ81Hu5v818FUP6dGfev9c/9jSOQo86SDN1BA2L+isRJ
c+dux09nnvk54VyloxlBb/LjY2K6eVKbnT6eiTKvr51kzG9jTThPYGj0/Tik6fOotc7abXv1hOU8
WEAhizCp99OD4w3tJVLLbANDPz7YXhn4jtLWkA+ryKeoucqyyIOirQVHy/LqG0O2vL53VXPVTTCI
KTTlVnG9vdQnklPaCHSIMNIvUGuLTVIMAdOmCYSPaORLTgr7vqxmlcAMsNYLlRUQkAMz+PHB0xno
ZsbrGOTOviOLaN2CXDoUKSY8gtaxF2F/XEp8bCkDblAKKU5FGwRTBM2M7geGUs9o64WKL1TH6Jgw
PtDmiMwiX1XTFH5AEniOZBgwV+mXcSr2JE57jCSKdKdPHnnpaHKuQy18UtORosSogbcVN1ZZqX6s
tsqmtcMJvntn7KnnHZ9AzgPUu2YXt6a3UiMq1DQrTL/nTLe1NQry2ArTfZUDkA7K/maqwbsJIrcX
nWJN5P5YTHvcEhmxd5WQbApcmbujdEp0G7OzrPJY084NJt/V6AxiV0XNvtOTl0o44CZZRhfgOBJf
C8U+CqupXVK0RUSqaTXx9qlK/I+2TUyiNJU6XEoLM2mbYp+aOvFKXys5ydZ8V9JSXSFsJ/fawgSH
ng3RSXgh9OYmd0JjkUq50fvsQU+G1mOyjZ0I0Ma5r7TrUmf8FjYcAAxiwBR1w8prsSCDKhVcx7ZT
nH69GZ6axsL6VeSHxtDeLWtmy9nDpYe9gYG5T+fTADFGuXp2Qm9b5OWmN6xjIr2TwCEXIZ/zpyzU
lgSak5WWrKcwPudTjBkaD6SHngdp3XiyRrESqXJPFcI8UpoHO+j4ky54yfX6zRi0auVF7heOnhvq
/XvAPTQnA4FsRUCtbgt9zK+qFAYEmTd29wWiIvl9BiKcdVDKozfg0AX7EadHzSbdc9GNWbkXHkoo
R6vlMWTutvu2Bv2zGBs07f5iMX4t/mvxXsTtnyzI8yv/WJBVFmQbfw5eBqrSedX9Y0HWYHiaWDYQ
0dEC+gzqRHRHi0lX57yUH2V39m+o8WiyWjYtZQuV96+sx4Yz95h+WI+JB9PI9bTmalQHBfDjetx0
o2X1qatcOVaekGK162Oo40VmMx+bRUSpM26VWVbEUeaG6FBvpsITZo32aJhFSLQz4P8iS6JyIaV4
lirps2ipmuVLsBzfBvRMJbomoVansTN2FDzuUczSJxMNVCCM+xBNVD6Lo8I2u5WzXMpCN0V1s2QY
0CwDQ73xZmnV4DJYr5P6UZXOh4QCuU4Gccn15N7Rcmq6lEW9UzjP5V71ZHaiW7GzrPJUGdZJKBCW
AIKEgwd7Q6k3Q6owJwwMJENdvsfbPsQrKyC3aGLgr6wCab6IrFfGm2To3X6NU3XAvl02bXnXVYkq
aDhpJrNpAbWlHLy10PBp982YExHROQxQDb+3CqRXOBe6ZCS6hxUrLwHbdWrytXWc9wBsNTI8l+iE
9irr7/WmdMhqGLzl4HUMosfy4kgtXWi5/pIg4QCLzjyb4TggOeI57aBp9pVavKHLS2qyDKJS9Uks
0EBZ5aZ+U6WkvBWRY62owO7UiNaSQ8YzFC11RTvpqSA3BC5JSTkuy6NKcsNScTy/cOglhmJXZOVV
ozWbnIUl85y9tIInqLP0O1JjxDUHd6gw1Z3W0aqI+NwoIgiyDmymr2o2GUvez6MbtvG+nzlCgtuH
zRS2ELLA/Ex3/C6bpSe5gIOD+PRgftOltLNEJf2mVqm/KVe0gfx1fbxRGzg9qt3MfB6ELrVQL7OX
OJglMBNWfDLd1wqqnQqNDNDOHbLQTdp3pBcjoulR07RufpYe2lGpYylHb2PmfPMDYsPE6tBaJo9w
SO9AkW4GhDr5rNjxkO5IJDwCKU+NpKdG2hO32labtT7JrPqxZ/3PhBBI9gOKoFkbJBEJ2bNaiK+c
vOQueU8QEvU1700ZQ8s3ZpWRjdxITs7GQH6k1wATZz1S22WnCYFSPiuVxlmzZCjmhUjSt0Jp/Ly5
qztNIyXWuwkROwlET4WY9khNH1QvGfDLIsxEHhWPCdUFgqm4SV/yWUGlODb6TTRVBuKqaFZZabPe
qkJ45QVELaj5gMRwovfbnwH0PepItcpGAWcjVzoSLkOoSFNnUVcYzdkTj1U9HCNEX9ms/lJ1clFn
PViM9CtAIJbkxVU3K8bwVb31s4bMGIKjN6vKDORlWcZfQ242zLqzoc53LkK0frYPz8o0OWvUnFmt
BuAc4Rqj9XFpf5OzRd+kbYodPieI3QqLg1I9y9+UZou277lBFjd4PTBX3oLhvhAxcMo7wNclQjoa
tkvATEinxNM4K+30HBnuYNpHFxGeq1XYbGddXl0bTzFCvQFTcDYr90rXvDGQ8lEY3+iztm+c+pM1
q/0ksr+gqN0d3rFthCAwdtPHRE+PECPuHRz8qOLV2xYJIaGIpwhJYap2jzBgL/WsNcwRHZr53Lav
TzFiRDmrEsNR6xYJQsVMrw4VwkUekn05KxkjJI1NoK77WePYdf1TTrQijcZs3SODLJFDKp52UAz0
kdWg7EwEkyrCybYmhRwh5YCvnyz5I8EKMO2mm3ZWXDp5BTG3PkjBI+tCDMsRZ1IJv6TgSchG37WI
NxuTmg0xp2ZEDz3iTguRJ5bXDBoTKeEW6g5koClyUG3WhU4IRAO9Po4IRotZOdogIY3K9BAjKZVI
S72MUo0KBiB7pS4T5KdmH68L5Khoog8x8tR/apNvU66ZCvTXtcmxi5v/Or/FxDP/e8dsfvn3AgVP
DLUJUy2PY/vvTPBPBQrxVyrEIQ+IN56Uf3XMUP97vMblD1wVbx59ru8dM/M3bAG87Jsb7NvU7Rdy
FX7ul1mcU0kB9wjcUuHazXilz0PbWqcbgiE5PKMbogoHdvJ3xnAUGT/UQLNyxoVTbtC7YI2m/8fN
+XyNnPwaT2SjvELYuyuizlsjpEnqtZPLkzSkPeB0HZvNNOco2Ypgo9da17roqPfhg7aefXJqx2t2
RRhUp65W3Iqev2FXJ9tWcP6bFFkh4n6N0oRetl9yXBDbFDKNjzCI44ispk2N2NEf8K9v6sis/KYc
CBS0WUaK3r5OnGL2WueAZ0iz3MRKCDonJBFR2RQ54oxLUU/RB7Gt/dr4XVrkNkx3vN8lR17Gf/ma
MCmSom+6JGKcWLFFJaubVvIuYigok6JZC0VGT4bQDhEJ2ezjKPJSNMJGX20oxY4DR92F0ypXXdQ/
WKlxR6DlpUYwGhb9g23lhLLYFbkvsXmsamBnZnVEmEtPL0zRcXeEU0j7MGjZAqsSIUJhyTBIQvVA
iDqV457l/FkkCaLlzEHvT0pEHdvJ1iuiYyfVNwKkx0MkYPSYAUwEN9Peo6yEa+F5/khBAnKIIVFo
GjndM2ltcD9Nh2oUhz5QNjJPoXXG4YbI6HoVG8SWTsKvhviUD5bhBwZC/zASdBbqXVDHt5FVZbQE
SFuH7LKrp5mYS9JS0UjiA6P8QlLxITKILFLgqnwZ+7ShMUBgpqrbayl4VAEn+qYJiF1xC2gGwU6K
6jSYWEs02CKID92l5bo9bJ/EuljmSAaZNFF0F8wRisDTQcKSaKOO7amye4X+JvLxFCVumanvpt19
pUPpbiiS8oPhYVtcRKkV34jCBUsvzdhCmMoi62jK3ksTbdO46pdUiXaTrVy1mnPfRsomiwKb1Kva
D1J32RnakVHdTV8wF0n0VVIH/ix1y+2BkNVM37hDq0Ng4sZbhbNt1P5Rm+dKwgpXjue9THZ/KlXk
vTERqlamXk/8o73GHjxniZnaphPKq95o74oid6U5HY1A2XrOA5kcpTvt0bG6awv4Vu1Y9xUD7qiX
bz0Drq51W4rD9Gjp43UYJNrS0FMbvqD3zHzr2eCotKoH7UgiECHu5hlPGoSoaBlNncEYploD7b1z
ZXNvpr0vQ1TnVoTtradsx+87EsmGz6FMdyBtaDf32oNQojvXze8VMfOdh7UTig/dkfvKU/ZSwghr
EntfJd4ms7Nu4ToN+cgaFWRntrfmkOz5fAeLaFSjgww7GhnlbUkJrcN4vMpNmW6lkuvPUP2dp8Yt
45os3jEADxykt5IkgoWUZMiRaApeKW6jVaXM+nBgbUssvcwJdcJQBn4Wx14Ay+/MiXNRVvcBhENh
z78wjTp2UXktjLMqcN8I4QoBENsPSqPbft/YVwHAGj/IRI/txWt4mMGK9WOXHcDgw+XWrdtWxXNv
VEO1CqGMcc5JDiiHL7lIMQYMpVj0omFM6ZlPto1ZxCZjpVOmlSObYu9iVTgFRKb4chIxEVDlm4lT
m+nvGPGT42xjWnfk06TcxzHdhGN4JE5mAmIU3KDWfOukt0wChu4J2odAUS8MNp8NQ7w0XUrXPtn2
Sfvh1MM5s6ZkHQYASZjTPutJt8ZO8FLCOSQbjxQ9rWI+PMxAzqZwFwlleRNYq5GkZjwBflLpX3O7
lRuBsDYp+mei91Det3hp4u6lac21qPma04HUNedRK5oHqyseLY3sVU8mF5mNx8Ibtm3FaUsZkscw
GnfxwE9UylMf5JswBy1Ejt1t205nq7GfZWRdlYm5dM3+cZg7NgPKVAejW296LBYkYvNt+AXZ0CQe
AIpI7A0AYmshM0T2rRvvwkZGfmRAXEgs+0L/nzuYcToMC+cO7cC+NXBowpsB8B4dqqBkioSqBA9E
uy2T8NECJbSg2NxaueGz3BBVLXGr8OnzyDlik9rWabjXWuvZEz3EyXIp3JRkMOboRHc3zDrgLaev
iqusIGBvO/w7C7Bur2qb7rnXq3giKcbTvb3ZjTeNUHmbZrNPVGVbW/ZLQIHYj5y32/4S4LqiHTGt
G+nRzIuja9WUH4HKrAOs84tqQm3Xp/hEYuWmCqq7vGinVVqUWxiA1Rbs1OzCAAmu6zhn4hc7KA9q
DaRe18t2XeSqtihNc7imsxItQMIbfurWT4UahWtFdc+qB4NwKKrq0GhOuGwjma+h936JM8QitBeV
p0HYPC/TrDpUaT8bpKR9hVLorHQjjwgUG/XTEDW/iNaYlY9AFHSbKgQT7b/BVaCOkhZeBMpVkmDB
eEi9N9P61QHNT5eYK61PIr6Rp9hOOy6hVsznnHMnzlA2PpWZnCNgIhafNchz9/5f3aRvGmQ+hj1r
mjBzWnMf7PM1dL0b88GLw7MKrM51zlOLZP0OxOBfX+bHIcLvl0EXDNGMZjkSqp+aVmGZjIaT9uG5
48xYJRGFIb/D6r4zrwdse3aDc8X6Xcb5T5vT/Os2Z/TatK//foKYX/X9BMHMCaUzYw6dmGwCq3kq
/jhBGCTi0hWEeoCCGNHcHycIkxRd1JgUOSjf1Nk8/8cJAgQqjQXMwN+SjXj5L1mLrW/y1389ld98
9TQVHdgdFsxTzjk/PZXzxUUGO0IF0YwSqiPoxxweKGnDTVspZxGx4TWsOWmmk+UwYr0fQ+ETNkbz
SLrvZTcvR94dbnmsFVrFmMMAKNZgPS1dY+tm3dpuAz8nyX4Y+F+cNYuB9QQF/XNjtUv0RMQ4s343
snqNnOSEf+IdxJw/eIYP75JCQRMQns0vNseBcPTwHzclHLA477aJqLe15x0aqiPUd+sJ84wCHA/x
ao/PpLx3hv5q0KOOAtSMN9Gkv2a1uuY49RRhClk7AZkeosrHTY0kiCBgCjLTbvaW5LTgBgJdC5WY
ASMtSi5o9YjjpEkFX1TeFHQ4GXqJNTB/hEG8uQP4BH05uQMM4kIrFqCcz56RfQVQIDajzmQoJjeW
oji4I8ceonEnV2oxgHBrklNqIjWIQz31sVlny0g41tKR5Qjk2fVTZdxHVku9DVGotWplT+rPCjfH
TVRTLxdM7bRewZxltScorndV1AHbkzexjBW/m8sgVp6NOrnAAueyXC9uZIT6i7Dm5yTRbsdGgGAO
Sod8EyPHRG3cTXn8nOKYGzI6u7Rv2CBjzKc0p5JK/ZhdzlukTzRw4m70o8YO0TsZuM6jxyjh/Ycj
QogJNOfSxsXS2RRGojBMWnXde5mkO4UcjIHwEMBPzOlbzQa0znVUEtbHwCuAt0dP5A/dyho4XukK
OpkGppbQIfSiQJnWjmgOh4TXZUbrrUiKMjfkHZ3L0qUSCfjeG+KbNVkt1Fw8a118bJP4WMc4k5RQ
43hhwwA39QLXVoMXPVcMBE2t2ARGeVVg0SJZiXA4BVJD2MRXcGmfq6SKCU6YxWdxvZJmgQuaNzr0
NF+1rN9Wmnqt6w2wzCHfkoJ8qMNuh9/lvlP6TdkUtHpKTN1AIIFREe/S9J5v2gPOyCxSUa31TxQ3
702vL5VEbiDgjtRepJIUdomfhE81OtdlNbTL1OsvbpqtW9yd01XbnwIlXo+qRyBXcdas4lrvgy0V
4FnpqP/7mQkwWws7/AldSdqrPmdQ29hxeEDjYGkrUUBNbHPL+UeLnCmfa+s5tSgu1VztP6JUkgic
G46vi/mnmjZvMmGvh2HqJLLblSSGLWf5y0YrrF2kUTZN9CtrWlkGycGFJzfU/ZD5pQHpEW7k2lNc
Y11zyghlhPw1SJN13ptfO3T0IFfTr6XRP1VT94W5Q+KXDS2+0Biuxy4RS/Q6/XJs7dZnOSKblsoT
kxa+qfbA2kMH3BVYNWVV6Ysib3dWgSUSkaSwrfteTQn1jcya85bJnDEcqoKsRkfWk+92odR8t1BM
idgUIcDWRKiDn9qAoniFYXjsLp6KcfwyeLViHMhnLQ+DRR//qSautz+nrdiWIZx7IhAzvzRTcx0z
Nl5U6vRK7OJtwzBl2aZyb5pFt66VWm5cxT5YjmSyQhTdosvsL1VZEhDd2nQbE/MphScGfYFTsKZO
9t4oeZjTArYqfx2hjlW+iMB8Zbyhr1o3yRfGVH0gzuuXBsOOhVkA21VVBFN1W8slHNTTCNZWxh6B
ZkI5mUV9owTdgRDHlz4eaBUby0GODHM1ug6hsMAHGHJP6W6pA4W9I15jjJX2PABrdQt1FvHvAP2H
i6onV0GDqzEZgRjrH5NGTmUTWh9pnz8UarxSpr0+ymRlWhynw/o2lbPwFCWglLheD1nknNQ0U1ee
LOe8pF1E4xW1trSXFa3RBQ/jle2k0wpWN6ELCphtdszVAJ1gFcvuNKnjwbMIneEuiK1DoO2i4bS9
MUizAXwhOILHDmpkSmxqyLs2XU1W+KjXDI1cMwlWhHVzpEq9gYszE/bQbBuTpy0nOYunh5ijsyvL
cy4FBOpyOAp3liW4+NJDzTlDjT0RCoWgSARnjw5Gkzdg6NtX2xtGn8H4ZaRTBCwfCzDhloTGJKCM
OxB33VA8lsyfEyXlPXbTU1d5EQ5h0l7SdkKUrOrKsi7b98bz7lmg16rIjmkeQXsNja2RlPccbTZK
7MhlH6q7ajCue1fcelb5FrPR0eBQr0yVBoHF764vzGATTFqNBraGytCzJbRDuGDomdAeSXeeNc5d
p2KZuHq1aayYyFOzORPSfE0lsi709v+xd2ZNbSxpGv4rJ+a+HLUvEzEd0VqQBIgdY3xTIYNc+77X
r58nWWyMdehzRlwwEUd90d0GSqVUZeaX37t9bhNliVMxKQKNygPY6D2Jv1DtZMUGlo8QfkoeP7Xw
9JiZUbtArqosTJXgrZoBxQQ3PpXzKqT0rQ+blNSLwnQOraq/jsGE6FKxCbJkHUjB6C3gP6Crdcwp
1jgeWAaRO56inpkKYmapyoUYVk5WowrTv3VdJLFa4eLgoK10PTjzm/CzJGccalKylFnkWOCMbjkm
KlMC12O1bEdUk1oyM7P+Ls28G+Rop1Vq3Y26dteb8kFemV+yyPuSwWqb1TAj3CT/Imf2UtPLy85W
j7RQotkyRFM59jF97TbCCL6x1K0TjYdeE5xDikWfUMuXqS4WccnAHAEvkIdS/5+yW7jvvNHBD7aY
Ze8ou/mrH2W3jBpFofIW6P0rqpfyiW9ZhWyqgMbQBPtRdpN6bIliGHoJLAKYqFzwuXFP6B36LsHi
szTOVorzd6gFqvhALw6Douy2SBjgWqg4kb39pkrT/MRXs0A+BUEIJm4y0j1XvmbePdR3YqEg6MB6
x3MA+wqEAcddzr+XqnVqwpFvoFvSurqI4c5TidEIhUxfRf6XFPdheEUXWmqvc0G7r6xbspph8MDH
H+Hl1wZdNE9Q9VWvuc779IqYYYgBDqmTBXYBM0THty5MfxPGvzGE8wQFwAjPS0ERoOpko+ObSCma
zun0WNNoDJZVQzMpRE+geNayEwIDHSO9HsUBYOf1iALBQYmA3UdCdoL6XWLVg3rzOQK5n+ioF0pH
OhhRMwQONSafbJE7qGAorWZ2UJt4DQk3cdQQNaoI6mCbpg4ZCeglygpq1oCCoug4mAgQd4WROPIf
Vz8KZQIpw05a4khCIk1QustGoj+s9yv1QaVhXnR5czHUSXkdo+OIhaDDLOxDD4WHnBhHmHEl01zu
15gG4MbvWdLcQBdSk0wKdRSvTRQjcOzoJqIhGZR7WtNfPZQlg21gxCjEJpwDvkZCfhIX2hoF9VYT
whRaA9emkKp0MqIVSXcPaiFjGYSgRe6HZYjCxba7eY7ipakYM0+IYLpHQQzmNqhj8DODHO0SWb2o
jcDoadESVzDquVyvMhtHqNpyhpmi1nQWi0wuqdsC3W3nVUWlvInboluFtaHWrNH4bU96rRuwQlKz
cka4jj/z/KJg23QAiAvyZzLtLvXLYiK5hK1oOpJmekn8r45W61jdwc/Sp05UfLdpFFG6k9acEhpm
KQMxb0Z0YY35cGRp1onkq/a0xngJgytqTcn/Evf6bWr3CKz6Fl+cyJ8ijKEoL4z7MK++UzJsx7oc
Jq0Vf/awXZ3AHV/LbQ9FAairTKWALOtam+tGe9ajDZlpTrTU/fLWjoz6AH5AjJbUviWnnqBtHQjE
tLr7ykYChMMDMWkJ54Y0qOypHDreOvakE+82bmep5x2idb/XezS2Cc8LvXMSoY7MFBpklp+3GmdT
auLrXA9yUus8gRVMEIcisZfNGxf2zsLgX2ylu/HG4pwIt+mgk2PQVbepYVSwWCQ8wC1rDGZcqhd6
mZmE2RNcO0pyySfGtuwBsoWRHWjIRTNk3iry/aPRTE/GMsd4O/9ukvKEZqflMFsMUXn3z77ygAzr
rPVv7CtNjVHcjn2Fv/qxr+CEiFBCtCIFvwxjt5/tHKwQORY4iCFosqpCvfAsoWDzQBuMsyI6Z9wy
CE77sa8QW4M9tSzUlqThmNbfklCg0ny9ryCbRFgLY02VDYCZVyrxVqVSKyRnOGWHqw5kKU7nlS5X
Ecwk2y1Y18Le4IhjYCViuGm+7rrmkgVvYdgRjAThbx/4snHcp5w22lBNJw1yKR0IfBoPWnWgKrVz
YmYkofRo0c5VvWQO6LV0BGfEWFRh9sUZlXBKgsNdWnBMUfzxPAlouLsdaKSUt6SBebQ+4TdN06wV
Jw0M6oOsY4uxoT80pGDhkKieE3Qfr9oEISNB9Hja+8ZSsnrkFJpbrZSoAbdwzNTAGSm60BV720XF
ZcaimScdKXKyKa1CjhCHHiEN07F28lO5Mb8iSb5wCq7iKtEakL6jBdDMqj6NZ27nrGWdodHgb/Re
ey5HON80+TW711HgV19lCcu2POFmx04l8iA81klFZpoa6zG370cnxv5sIMjDVlvskLIM//mumEpk
fEx86HiO6t5FvlZNDDuDjVrBzi7WqZp/CQPoJZaWu8KlrJx3xvBtDNQTNi3+DwV9gA6SNUor7LNK
I5tnITUpDu0+7wcwQD5sCc6ugLzm2QIw7oAu/kKl7m8U5wDbm+1o28HcsFocPAzs/EsLhWFFNkPa
VDlMrxDHILvLl44H4tCp+g3uYOuGGKNZoefztleNWTVsXcucq2ouVLjeBr3+98byspkVgQHX+kh4
n1zHaztWz9xyMCeWWcjLPMxpT40bu6hcOAHgZyDS5rQU+Ts0NVYtR4owzM4bOZFZ+2BX2zG84OLA
iB/CrAnSVczzvvNuQOQd7J+qI4/sglkrceawOWCg1SUZLYi8emYNo7y04jSYZ0kFG9hz63lQOJ9z
NzxDf1NM4b4duZ3NHldg5cK+uYHNDsTRZhur57hZ9VgwVZI7Lt06Y8Oto2iee5hGJGoDCK+MOS0f
TyeJz7u0XItnimy6pZok6xpm8bRJI+iKOJJNggIGFUKBo1jqzk3Fv8Uj1J2kfYJtE9Z+iakuTeED
3XrOaZ9WFSRvlU6fT4qpiNMxc6WeEN/tQ6LrT7NeWnECpGHfRXdN2NyEifYtH7qzUKd3qHjJlkXq
pFS9ZFJ29glEO3ke2jDw3Cptj52hOtNy7R6nRvqxub/U4uFbFzonvZpeYggUThNjvI2LWiaPyfAO
bCMMD3JxBq5d87bKinPVI+0oDKNtOAIvDapLVEtn4f8kmZjJwYB3vOAy8z3Ya14Qz6U8uknx31FK
HxCl1TelHH4lyhWwvc7ww8lIuQ0ybU2w6uewlPA8aw/BrGQqH4NU5fzQzfCTarKGGERFmYSOdFsX
+GuF2XFWJvGks0juQJj0pR5RCUSe5izb3MLoNSEguFN48IrK0U/VKAOJK+jc3P+zLT5siwa7yJ9v
i1dbf5PsOG6Jv3qxLSKBUREOij3sgSX0C8qB3kZkMXDoEiehp20RKEM3OFLZgB+oyQwcgn9si5zE
4EkhrXEehDVwsv4GTwo/+dfbIgkQhji+AXDY5G2+QjnSGBsa7M7s0xYLgGoWajCrDXkZpqmEDtab
K6xiU0O0Rdy2WfXdoBAwCilAaZ3D2iATBZs95cALhytbyopFE/I4pkqA5t9M5mGT33lqzyOLcy/K
eHjejTTTpOZzZY/6xZAQQGGWpkv+4GCyL1mkT6qYslptuWYjJ7DZU33Yscq32q2+y25TL/MuZV4T
WTA1syqa0+e6GJT+nN6KeV5QYk69qLNncpxC9LTRChPeRv3ZALwMDotlwl3ZfQS1u5FIAMYXIITO
jONncK+kGBnPqpYjZp0SaWWS2MsuPEKy1YgLi9xUOXVVgtj6JuXfIKouLSVWJjlvPwYxGTgWMDIw
DOxe0FpapKL7o3WccfBfy3zKU3VZl+xpyDE2dayRAOYx8bO6NejVkOeDcw3Uh6NWknVOuRrs2IRZ
Pvoo9sqmpBdLE6n0TXcu29J1PlYYupZLYCgC3IvxrOxw3QIeu9EK6y4rsxM0+MIS0T+EKndm1O6V
16Ln6ygD2sj5Xub6Sm6ctVF1BINWkjklRN1a5HH2JeziQzMNbvuwhqDkSN97zxbJPc5BELdfDZzH
8xSpt4K3wjRMIe2mJsPSxlo+0XzPPw7Qqk6iogq+qml2Zg/h50i2kkmXcCyMU6Ofo6bq5kkGyDBW
1Y3ZVre2CZqhq9k88gLcNr3AJ4ui+JxxdDlI5BhKg216OLX2VxhnQfUSLe6glet5OsJsN0mVxjyr
OctFT1wW3XEKtjs9r7+gw7lPOBkfuJpyn4uOOiy1+jB1VYgidNthQrQHpujAjwWOkxGP66LBQwp+
mWjVB6Jrn+vaiqQtZ+GhQ5tqhLSsepr8A81+naa/Jrr/jotVtRJW0awxq+/oaUixk4dkytzPp7lA
EAK8Egk4dCYWwBwdXOYIQWCkqwvswVWKqSbQiA5YwsMKd+bb/akGYKECXPgAGGZkryQAjUZdJQlV
2drhmpVeX+YC+zABQaLEvLGc5BR0ii1BC4eZC2ASwf+WBYCS1l8sgahk2H5jDJs788pyymnm1NQQ
IbmuUb4Gil9UUnKNO+gqKrzjOslJmAe8CSBSqYA5eoNM3xL4TtkTaBar4yG2pLc+WJBhAkaZcmet
wsI6Vp3kJAA3igWAZAsoKYuikXIGeMnzAZpAm4JVA/akgkEpYFGxAKVsAU+Z4FS6Zdw0xE2pAsDC
B9mZ9QLUwvXRmBHEgi5YQF4UkQtM0yCRmGM/lcDFOtO9GQVQVuQAttDsWXr4O7qQRChRJOVgbO5Y
bgsBuqljDPXZUXF2BpDDOC+aOAzrtAWtU0Ht6o7QSk0AeW1Y6bOoxdA5AuUjnvNIB/ULfBwnIGGT
0AciKIMMjiCELvjctBSgYVHH0gQm3QVU1VscTgVek56rAmpUwBxNp8GjExCySG13rlbteQk+6YJT
tn7FiV4Al7l9GAgo07WS8xhss7cC6dAH7QwE7CnX/aEJDoqPJtAfJekU16V4aqaomWMBnI6yv4aQ
Rvoa1dgMO9bv3uheFTknikHh/K8JCLb3w/syN069DHBWFjAtPTpKeQHddvj9LWvQXEv0m8diPB8E
0CsJyDdyvMteC+aNwILBhB0naZEUlodI5imjFd+jdwaErHUmcXVmZhy4yfAl4Whee/KGejNAVAcE
bYNFUwxdq2DTI2oK1MbQIFv9QARrtpl9RI4oDSC3XuIoFk270cTgHsx7sJS7EQzc8Fize1Bxkw5E
oZRbIM11DWo+gq5ZAkavhmaKkuk2g1YJcRGfFRB30naXFgi87NVk2PEQwNNj5c4nVgDAYQjYvh+s
qxwcf9SNbVSzUAaaSYpmLLiMnHFq0H9FA6rsK+e0xDVxocIQiHluKdl1HGBFZ7tVpQkT7bw0cH8w
rRH+6uBt2DvLeRb4zUTCM3sOkdo8tW0Jgwo8RRZlVX4JIuXSSJt4iojzGrPS2zCie1KyLiBC5dGI
rVxhBVHA9u1vdAP7RemUB9zftzKET5va2X1FCDCsMEy3U18bTxBcGDM3L87Y82CV8rMu949qHBQn
9M9INZayuZM0967QNspWca/5mHeFDmoqyY04E7hrfG8bXFcGbHcyp4WaW+sYqjSwIGtWMNc2Tnw4
kbM8D4D5yS7PGm85YGMzt1gnJar3Tkovh2z0oSOHXyMrv8OZAGCOvE3XhdkXksCJevVSMcjkLFri
ycjOW2GPwVac6qQlUhpNyflG3yEp1akz6jOPFMNIJH7aSXfaW9gNVYSBylqQ4ASUf7elFHCMwNCO
vLy5VBDhSZ70JvLhyeUwt2QIaeclug9Wc9IL1nrrL/xAN6Rp3IDQQFVzipMsjjPfnJSBTE8SA6F2
BNxxCv/RoO8f2EIk/Px5HX0Lmvd7c0n8zYsq2qDitYX/Gqx+YSX3o4pGn47kEaIQ2vUHp43nKlqz
PyFTJDMFxYGmCGDhZxVt03fS4BjRdqLwNay/VUVTKL+uotnGTZ05isRShbj0qoquyy5MYzXsT/Oa
pEuAUIK2y6taTfxpqCIlGpU0u8IEJz5V6yS5rBq3XEqy0iwbwuVw8mBvQpdeE6mhnaDElzHUSMCm
rXCrwZSlPSybR37RfnOaLr/KBpokURH3Zw5xpVMYgNbUadzsSq/adSk3oM8p/IbAB5v1cE0nxsO7
AISgb0B09Nwj+3FWKcp1Al1xGeN7iy+ttshRtGmDfeUVTXnQ67C5TfyOT+OgT6a4onyVZLNbOsjc
kOgE14XeZWtfHdKDenSaqRSlPfVjrJ4Giu0eYHrrYM+fsaV0Kq7/D8dQcSBFyIONRTqSlsppNavo
bejk49JySY4bat2Ik20njrg1Z11HHHoNTr9yoyND9AgO5lwccT5mT/jMaK4zcXCWxRE6E4fpNPK/
Gpyue9PpyR/NbrwiuhEQKWGaHMVdzuS1OJxr4piupYqFC4i3jMQRXjJpGYhDfZ+ah2aJpW89coRw
xMm/Fj0A38VPKaUtwBcdIsvPLzPJPdFpHNhgPQQ/5HwS7d6ltQA5pj2GUlHCMBBxCzQggHlZIt3x
xMj4Susc01yaFRFNC1Urb0aaGJKbU5X5/iGGvac4ixGiIjoeiuh9SJ26MlR4T3FD772jQQI/jo5T
onNIMY8z0UPJRDfFoK2Se+O5TpuFIgxEWHReWtGD4fkgnsAuIvtUI05a+yarpjGsLAyh5xbB9cAY
I1ULlIwZWodqggR0K1XRQdDY4ETScPAAzri4E1KYxIdtyDHHMjhPqIlyjO44nMSCkeHKCkiJYQeL
wSD3ulDoqUmjelGiF8bQrEynuhfdFSrK9MEPhnkAgWSeYfgiy+jlsRFnkIPKXUlDVUzBSRToNrY1
lXlS0ZdexGna82Trq94ms1VoW65S3wU60PWlkqXQ8Mi1YLc1k5nqdtNRlwnQHtztMKjLQCJINTKM
q7J2OZik9dSKtKllOSc03uIVFHMMzTuaWlZsrkjg1U+teuC0Z5f1NFcCFBqlftlGon9ZG8d4YOfk
SA/OVJaMwzJugkNlyI5wTVNWRRbwLdUY4mhfKsU9lTrvoBvpQOpYuddFSVink5SLamCbZSud2UX8
zY8NDPdzpjrTJBcWCPTQvuI6ddgLc4RIsuxZLAwT/A7rBFeYKLAPgcjoVDOERp60hZTRGaIbOWA2
F6eiodxSGbtQ8gaF/tBQ5Jg1DCNGM8LAQS5q7IXJmFsMnou9gzB6yIv0CKCPPGEPEwi4ayOiBUVa
6MIiIqOtbUqUGCPuEZLsfcmlRDtTw4AkZmExIQW6M8Ua7lDCG9ATNhQmfhQFgcffKxwqHJ9pfG7h
WjGGwr8iffCy+KcP9diHYsN5Y/9svu3qQvE3L/ZPtk8dqZpl48H8ytLSxPdZBPxgY/XQAPoJzpga
my1GAyq/YoHs/+hCsbWKTZUgn0evgb+1f6IM/G3/BOoEcCcPjhhKfGj4+QuWeVyXtdxnvXxaA5Rw
ejMWJjjHkSo1+QTie45JCcgK2nF6tJFbHWRZoExrAJgyM6AaCkyGp884LgVOw4wQKm1z0QLhxHaf
r0sSMfKWrkpt3yktUnY16XBUaURKSrdyXPuAkBZ5lqP0wruO7cgRJ/dOv+7ScqkHfnpVeB728Hl+
Z3b2UQb6USq6AAkg8plecRcPTkRihc6xs+uWfd73yFaE0ZyM5ZwS6vqZpNFnhxg5rx986TrJnUmo
22hlFNh+1BtMIO/cxEY6MqTy3BMOdzAEcXjMpIsa1fuZI3zwEuGIF2uECrsokmduYOpTDmhI9t2B
LoEO2IGpXhWY50jRTmzhtpf70ZdA1a7qzMlnEoZ8eUQHxh2965JMhoBZ38B0nFAMLEljvGcdTkFX
/WWEzV8qh+sKKU2C/V84OldKCInQEAquUpWvsBdTaeDoh7UP/hELH0G1NjaDcBassBi0hddglQcK
JCNokbp8xqFIwdovOA8cCPdS0tnd4TAgYxlAbmUQXBkkl/30qBXQrhZWF40JfNwbMnEyZUI8Dkhw
SLeHzTGeWWMEKVGSSApLaZaWsIriKlratMTnQVrZp46aDwsyf3A0NBEUpoWz9qpyqxbAa85oeedS
E5EsHRh3Dny0k2JQv8e4p1Dnm9jG+KHwEMV+bAolC5wuQrRWG0l0kMZpfuhF2SmoVA7PyT7tpIwW
jOmA2g3ZdzoWGmxBkWOjnuRZnqKTw1OrDvRyojSEZSuGtAh78ndbpflq5v5n4jyaaUmWO64M6WxU
fcbNY3DjlL6aXWFiBJEB28RviecC/mgAj6l0rtj5dx2D4ManZVX09jSNzHIq1yUGg3Gxys3ksK+N
ue5pp4MSnepa00+d2BEiyfBG7txrI0EGz/kGm2HJui5rz+C21WM3V6k57AbhWJFgRyDLF8lQH8ps
XkUUXgSBNzeb+LaTy2/4JWWIBmG8D1V7YpdRMyuhc00yOV0DnOJpqEuHNAb1hSkTHtA4QwSPwDqW
C+XOVsmTr+rhJtfUZtIqOeQyHJWzeixmQ9+uIneUoefJJ13cffMFAmgKLDA1SW3IgAc1QFqHStgE
NgwFfmgDJNYy4rsS4o0kMEbscDIMf/AvFfjjIJDIdDDua6DJroAbkwBWFm6pApaCX0aquggBNG2A
TYrqawWgU5EqIlFAPukAYJ7prEuBiXLDM29su5kDXGoL3LQZ5Qv8LL8OAlH1dD+eBgJllaJBWmUC
eU2BYFugWJ0EOx9o1hYYbZ7oSFp1gdy6AsMdBZqLReu8dAuMagXSmwD5hjJwsw1YPi2UCmOlDGSY
MDCohgItVoGNQ8jA3B5Isgv8CUzbn4dw+fF9le8QJDz5bv8/OKc+3eJsU2/mDxbO5822HC62VRPX
1TMQIn56lgVpfZX9337p7Qs9mUdfDfn2f/5rc09CMpY0dRnc1Rz7XhtLC57BLzv3w4093PWb14k3
GFQ397wDx1iIog60OySx4oUaJs5S7+nHErGPn5jytgG69LJcemsU3v6Aj8P59u/8+c2/HAMM014T
S/7K5+cD/vz41icO8SyeuE8+vMDCfvn4OBHAqCbBgubAw+sjDMJvT4LQ6u39JFifcJ1DDkVZ9vCi
ofHLUPAkqOjb8CD/kGNAC+fxxu76//a22Y8H9G/NBnzWIRmJhI/HMfhtNmBlyPNCGioPCjPvxYrx
Z2vC20/6frPhtwfBkBWA3j2XBPMTkjS+aZ359fB69SCIOcHPGAMekY85CK+R9b+yLjCYPxcGQHJx
mNF1ldPCr9NA/6RwykHswLIpXh90DOTH9Xqf2WBCklMIUFee1j4+6i9DwYNgYYRi2MrjPvQBZwO9
3D1ng/FJgz7BiiDYgrx27BBiB+Xc+2Fnw+ON7fMk6HD3VQRYz0vC63URH2vM+jAURN7yNEgfc2F4
j0lBopUmOqIPn/S354FEYzJjsEgUHY0POQja637P314dNYuJL9Pugdjz+Hq1MghfX9KJiZn6qIPw
9O3sMymsT3ClyO6hvfXwej0pGATIVXS9RFH9IZ8EsbntuTwy8R8CslTlcTqw4P6yR4iqEVBNSH8+
6CAI/tueg4BXvy1jLfG0Rfy2JpAAgM0p3Uzro04Hbf/aGcNu6ITCnO1xOvx2foDD74j/sJt+5D1C
5CPs+TxQIso0sG2NZrR4vZ4UPA8qc8L5uI/D/o0F9ZMFBdCA+PlqReDDYyaDpx1Kv4fXB10XjPd4
DpCKwHH9s+YKBTQiREU2n4r1j1dAa/vXjmyTPAe6kMbsnAxYtagEj3DifqyoPurJ+qmU2a9ioC4E
hXp+8n9bItksUTCxSH7UQXi6sf0GQRwU0N4+1Y6v1weeB+pKhaDVj3qqfLqxPQYBpyGO1tREz822
10dryiYTObTBUeKDLo+C8LTnNml/Es5clI+Ph8bftkkGgT0E4NZ+XIo/3vKoP1b2ezwJHKVguiJI
N59qBdGG+qUBj24eGYeIR/nrT8JfGKkfgMbUxy7uAcqAp70L8fizX3jubP7+8xdAxUOT/pffFNDG
45s/whni///rV6Tjoa/64qfPfdaHd3r6+6eP+Pub//Jmz5/r+R+XmBhsyjuAyweA5+lGTzYJWMi/
Y/7r9/zOx+b6z7v5HZb5MQ3evjq01O1L/IITkya2vOd/2435/LWLJ5v7rHy+0M/kUXES2fvOcTSt
d904T+re155uiBfmK6mer/Xi3ln59r9+FjfV5vlCLy7OivIOF0/rcvMHcV+77OgEOLf3W8y28R8n
OPfuGn8O73tffx7/MctKHp7na70YIhb4va9/UKL92HVxFrO9L76It2n6fJ0XN85muve1l03yLYvv
6+dL/by88h4TdpXk2zLYxDsu/x5TdpUOOwZdxAbvPTBH23LHmCvvMVmPgtTbsRAISGvv2z7eRDvm
kAAu3uHSVbXdNSbvMUGPs+qPfxMxGW93jcx7TNH15p4F+HkcXjzn7zFF15sy2DU07zFFxbXzbNfq
rr7HFF1v0/vsLti1egn0d+/HZr0t77b3zxf6Oe7Eeb7DxTPu/fk6L679HtN0ne0ck/eYpVwaL5Dt
sOPO32OmnmzyHQ+66ILv/W2+mf3+UGvuUd69mTK778XP4s3dLv8V9T3m6FncJLuKO+G8tfeYXwSU
jlVwv2NhF039va9/ubkrORKkO/PU3mOWXv6nwLZ9v9vHNyjTTXm/cyETve53GKb0j1mw9XZUHNp7
zFrxIQ7IWb4Lqrtd7/Ee01e8x2G2KZpdu5Vogr7LKP3nAJz3+MLXG0LCn+/459ov+pfv8SnqzR+T
Tflts6tm0N9jWvNd8B7TePc7vM/EfniHshmfh+TnMOnvMrHfsijf+zt+y4hx/4tXUTBkzY6BeZe5
/FZe8N73TmGyyzJFtCr3f/LrDeKweNPsqMNFG3D/N3jLB23foXnTTWbvi1Pjk3r3PAY/55LxHpP1
qmEl2LHFG+8xUa8aGkTJrr6ckAHv/Z1+5grNroVSgIt7X/0NafO+X+ntn6u+3r70rrbsD57s783a
Z/7rrj/7tRctfuMu3m7Kf/0vAAAA//8=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microsoft.com/office/2014/relationships/chartEx" Target="../charts/chartEx1.xml"/><Relationship Id="rId3" Type="http://schemas.openxmlformats.org/officeDocument/2006/relationships/chart" Target="../charts/chart2.xml"/><Relationship Id="rId7" Type="http://schemas.openxmlformats.org/officeDocument/2006/relationships/customXml" Target="../ink/ink2.xml"/><Relationship Id="rId12" Type="http://schemas.openxmlformats.org/officeDocument/2006/relationships/image" Target="../media/image5.png"/><Relationship Id="rId2" Type="http://schemas.openxmlformats.org/officeDocument/2006/relationships/chart" Target="../charts/chart1.xml"/><Relationship Id="rId16" Type="http://schemas.openxmlformats.org/officeDocument/2006/relationships/chart" Target="../charts/chart5.xml"/><Relationship Id="rId1" Type="http://schemas.openxmlformats.org/officeDocument/2006/relationships/image" Target="../media/image1.emf"/><Relationship Id="rId6" Type="http://schemas.openxmlformats.org/officeDocument/2006/relationships/image" Target="../media/image20.png"/><Relationship Id="rId11" Type="http://schemas.openxmlformats.org/officeDocument/2006/relationships/customXml" Target="../ink/ink4.xml"/><Relationship Id="rId5" Type="http://schemas.openxmlformats.org/officeDocument/2006/relationships/customXml" Target="../ink/ink1.xml"/><Relationship Id="rId15" Type="http://schemas.openxmlformats.org/officeDocument/2006/relationships/chart" Target="../charts/chart4.xml"/><Relationship Id="rId10" Type="http://schemas.openxmlformats.org/officeDocument/2006/relationships/image" Target="../media/image4.png"/><Relationship Id="rId4" Type="http://schemas.openxmlformats.org/officeDocument/2006/relationships/chart" Target="../charts/chart3.xml"/><Relationship Id="rId9" Type="http://schemas.openxmlformats.org/officeDocument/2006/relationships/customXml" Target="../ink/ink3.xml"/><Relationship Id="rId14" Type="http://schemas.microsoft.com/office/2014/relationships/chartEx" Target="../charts/chartEx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11906</xdr:colOff>
      <xdr:row>6</xdr:row>
      <xdr:rowOff>119742</xdr:rowOff>
    </xdr:from>
    <xdr:to>
      <xdr:col>3</xdr:col>
      <xdr:colOff>402771</xdr:colOff>
      <xdr:row>49</xdr:row>
      <xdr:rowOff>131649</xdr:rowOff>
    </xdr:to>
    <xdr:sp macro="" textlink="">
      <xdr:nvSpPr>
        <xdr:cNvPr id="2" name="Rectangle 1">
          <a:extLst>
            <a:ext uri="{FF2B5EF4-FFF2-40B4-BE49-F238E27FC236}">
              <a16:creationId xmlns:a16="http://schemas.microsoft.com/office/drawing/2014/main" id="{1385A66C-3576-2AA1-DEF3-18CD7D15F452}"/>
            </a:ext>
          </a:extLst>
        </xdr:cNvPr>
        <xdr:cNvSpPr/>
      </xdr:nvSpPr>
      <xdr:spPr>
        <a:xfrm>
          <a:off x="11906" y="1191305"/>
          <a:ext cx="2141084" cy="7691438"/>
        </a:xfrm>
        <a:prstGeom prst="rect">
          <a:avLst/>
        </a:prstGeom>
        <a:solidFill>
          <a:schemeClr val="accent1">
            <a:lumMod val="50000"/>
          </a:schemeClr>
        </a:solidFill>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457200</xdr:colOff>
      <xdr:row>6</xdr:row>
      <xdr:rowOff>107617</xdr:rowOff>
    </xdr:from>
    <xdr:to>
      <xdr:col>26</xdr:col>
      <xdr:colOff>571500</xdr:colOff>
      <xdr:row>49</xdr:row>
      <xdr:rowOff>97971</xdr:rowOff>
    </xdr:to>
    <xdr:sp macro="" textlink="">
      <xdr:nvSpPr>
        <xdr:cNvPr id="3" name="Rectangle 2">
          <a:extLst>
            <a:ext uri="{FF2B5EF4-FFF2-40B4-BE49-F238E27FC236}">
              <a16:creationId xmlns:a16="http://schemas.microsoft.com/office/drawing/2014/main" id="{C658AD04-D506-FF11-9916-2E41D33BAB18}"/>
            </a:ext>
          </a:extLst>
        </xdr:cNvPr>
        <xdr:cNvSpPr/>
      </xdr:nvSpPr>
      <xdr:spPr>
        <a:xfrm>
          <a:off x="2215662" y="1162694"/>
          <a:ext cx="14269915" cy="7551739"/>
        </a:xfrm>
        <a:prstGeom prst="rect">
          <a:avLst/>
        </a:prstGeom>
        <a:solidFill>
          <a:schemeClr val="accent1">
            <a:lumMod val="60000"/>
            <a:lumOff val="4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accent1"/>
              </a:solidFill>
            </a:rPr>
            <a:t> `</a:t>
          </a:r>
        </a:p>
      </xdr:txBody>
    </xdr:sp>
    <xdr:clientData/>
  </xdr:twoCellAnchor>
  <xdr:oneCellAnchor>
    <xdr:from>
      <xdr:col>1</xdr:col>
      <xdr:colOff>198059</xdr:colOff>
      <xdr:row>13</xdr:row>
      <xdr:rowOff>18510</xdr:rowOff>
    </xdr:from>
    <xdr:ext cx="1130252" cy="429964"/>
    <xdr:sp macro="" textlink="pivots1!G4">
      <xdr:nvSpPr>
        <xdr:cNvPr id="7" name="TextBox 6">
          <a:extLst>
            <a:ext uri="{FF2B5EF4-FFF2-40B4-BE49-F238E27FC236}">
              <a16:creationId xmlns:a16="http://schemas.microsoft.com/office/drawing/2014/main" id="{2CA7E84A-1226-4DE0-AB15-40D68EC2508B}"/>
            </a:ext>
          </a:extLst>
        </xdr:cNvPr>
        <xdr:cNvSpPr txBox="1"/>
      </xdr:nvSpPr>
      <xdr:spPr>
        <a:xfrm>
          <a:off x="456156" y="2415123"/>
          <a:ext cx="1130252" cy="42996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619FC4C-5A59-4986-A957-759F7707162C}" type="TxLink">
            <a:rPr lang="en-US" sz="1800" b="1" i="0" u="none" strike="noStrike">
              <a:gradFill>
                <a:gsLst>
                  <a:gs pos="0">
                    <a:schemeClr val="accent1">
                      <a:lumMod val="45000"/>
                      <a:lumOff val="55000"/>
                    </a:schemeClr>
                  </a:gs>
                  <a:gs pos="80000">
                    <a:schemeClr val="accent1">
                      <a:lumMod val="75000"/>
                    </a:schemeClr>
                  </a:gs>
                </a:gsLst>
                <a:lin ang="5400000" scaled="1"/>
              </a:gradFill>
              <a:effectLst>
                <a:outerShdw blurRad="50800" dist="38100" dir="5400000" algn="t" rotWithShape="0">
                  <a:prstClr val="black">
                    <a:alpha val="40000"/>
                  </a:prstClr>
                </a:outerShdw>
              </a:effectLst>
              <a:latin typeface="Aptos Narrow"/>
            </a:rPr>
            <a:pPr/>
            <a:t>262</a:t>
          </a:fld>
          <a:endParaRPr lang="en-US" sz="1800" b="1" i="0" u="none" strike="noStrike">
            <a:gradFill>
              <a:gsLst>
                <a:gs pos="0">
                  <a:schemeClr val="accent1">
                    <a:lumMod val="45000"/>
                    <a:lumOff val="55000"/>
                  </a:schemeClr>
                </a:gs>
                <a:gs pos="80000">
                  <a:schemeClr val="accent1">
                    <a:lumMod val="75000"/>
                  </a:schemeClr>
                </a:gs>
              </a:gsLst>
              <a:lin ang="5400000" scaled="1"/>
            </a:gradFill>
            <a:effectLst>
              <a:outerShdw blurRad="50800" dist="38100" dir="5400000" algn="t" rotWithShape="0">
                <a:prstClr val="black">
                  <a:alpha val="40000"/>
                </a:prstClr>
              </a:outerShdw>
            </a:effectLst>
            <a:latin typeface="+mn-lt"/>
          </a:endParaRPr>
        </a:p>
        <a:p>
          <a:endParaRPr lang="en-US" sz="1800" b="1" i="0" u="none" strike="noStrike">
            <a:gradFill>
              <a:gsLst>
                <a:gs pos="0">
                  <a:schemeClr val="accent1">
                    <a:lumMod val="45000"/>
                    <a:lumOff val="55000"/>
                  </a:schemeClr>
                </a:gs>
                <a:gs pos="80000">
                  <a:schemeClr val="accent1">
                    <a:lumMod val="75000"/>
                  </a:schemeClr>
                </a:gs>
              </a:gsLst>
              <a:lin ang="5400000" scaled="1"/>
            </a:gradFill>
            <a:effectLst>
              <a:outerShdw blurRad="50800" dist="38100" dir="5400000" algn="t" rotWithShape="0">
                <a:prstClr val="black">
                  <a:alpha val="40000"/>
                </a:prstClr>
              </a:outerShdw>
            </a:effectLst>
            <a:latin typeface="+mn-lt"/>
          </a:endParaRPr>
        </a:p>
        <a:p>
          <a:endParaRPr lang="en-US" sz="1800" b="1" i="0" u="none" strike="noStrike">
            <a:gradFill>
              <a:gsLst>
                <a:gs pos="0">
                  <a:schemeClr val="accent1">
                    <a:lumMod val="45000"/>
                    <a:lumOff val="55000"/>
                  </a:schemeClr>
                </a:gs>
                <a:gs pos="80000">
                  <a:schemeClr val="accent1">
                    <a:lumMod val="75000"/>
                  </a:schemeClr>
                </a:gs>
              </a:gsLst>
              <a:lin ang="5400000" scaled="1"/>
            </a:gradFill>
            <a:effectLst>
              <a:outerShdw blurRad="50800" dist="38100" dir="5400000" algn="t" rotWithShape="0">
                <a:prstClr val="black">
                  <a:alpha val="40000"/>
                </a:prstClr>
              </a:outerShdw>
            </a:effectLst>
            <a:latin typeface="+mn-lt"/>
          </a:endParaRPr>
        </a:p>
        <a:p>
          <a:endParaRPr lang="en-US" sz="1800" b="1" i="0" u="none" strike="noStrike">
            <a:gradFill>
              <a:gsLst>
                <a:gs pos="0">
                  <a:schemeClr val="accent1">
                    <a:lumMod val="45000"/>
                    <a:lumOff val="55000"/>
                  </a:schemeClr>
                </a:gs>
                <a:gs pos="80000">
                  <a:schemeClr val="accent1">
                    <a:lumMod val="75000"/>
                  </a:schemeClr>
                </a:gs>
              </a:gsLst>
              <a:lin ang="5400000" scaled="1"/>
            </a:gradFill>
            <a:effectLst>
              <a:outerShdw blurRad="50800" dist="38100" dir="5400000" algn="t" rotWithShape="0">
                <a:prstClr val="black">
                  <a:alpha val="40000"/>
                </a:prstClr>
              </a:outerShdw>
            </a:effectLst>
            <a:latin typeface="+mn-lt"/>
          </a:endParaRPr>
        </a:p>
        <a:p>
          <a:endParaRPr lang="en-US" sz="1800" b="1" i="0" u="none" strike="noStrike">
            <a:gradFill>
              <a:gsLst>
                <a:gs pos="0">
                  <a:schemeClr val="accent1">
                    <a:lumMod val="45000"/>
                    <a:lumOff val="55000"/>
                  </a:schemeClr>
                </a:gs>
                <a:gs pos="80000">
                  <a:schemeClr val="accent1">
                    <a:lumMod val="75000"/>
                  </a:schemeClr>
                </a:gs>
              </a:gsLst>
              <a:lin ang="5400000" scaled="1"/>
            </a:gradFill>
            <a:effectLst>
              <a:outerShdw blurRad="50800" dist="38100" dir="5400000" algn="t" rotWithShape="0">
                <a:prstClr val="black">
                  <a:alpha val="40000"/>
                </a:prstClr>
              </a:outerShdw>
            </a:effectLst>
            <a:latin typeface="+mn-lt"/>
          </a:endParaRPr>
        </a:p>
        <a:p>
          <a:endParaRPr lang="en-US" sz="1800" b="1" i="0" u="none" strike="noStrike">
            <a:gradFill>
              <a:gsLst>
                <a:gs pos="0">
                  <a:schemeClr val="accent1">
                    <a:lumMod val="45000"/>
                    <a:lumOff val="55000"/>
                  </a:schemeClr>
                </a:gs>
                <a:gs pos="80000">
                  <a:schemeClr val="accent1">
                    <a:lumMod val="75000"/>
                  </a:schemeClr>
                </a:gs>
              </a:gsLst>
              <a:lin ang="5400000" scaled="1"/>
            </a:gradFill>
            <a:effectLst>
              <a:outerShdw blurRad="50800" dist="38100" dir="5400000" algn="t" rotWithShape="0">
                <a:prstClr val="black">
                  <a:alpha val="40000"/>
                </a:prstClr>
              </a:outerShdw>
            </a:effectLst>
            <a:latin typeface="+mn-lt"/>
          </a:endParaRPr>
        </a:p>
        <a:p>
          <a:endParaRPr lang="en-US" sz="1800" b="1" i="0" u="none" strike="noStrike">
            <a:gradFill>
              <a:gsLst>
                <a:gs pos="0">
                  <a:schemeClr val="accent1">
                    <a:lumMod val="45000"/>
                    <a:lumOff val="55000"/>
                  </a:schemeClr>
                </a:gs>
                <a:gs pos="80000">
                  <a:schemeClr val="accent1">
                    <a:lumMod val="75000"/>
                  </a:schemeClr>
                </a:gs>
              </a:gsLst>
              <a:lin ang="5400000" scaled="1"/>
            </a:gradFill>
            <a:effectLst>
              <a:outerShdw blurRad="50800" dist="38100" dir="5400000" algn="t" rotWithShape="0">
                <a:prstClr val="black">
                  <a:alpha val="40000"/>
                </a:prstClr>
              </a:outerShdw>
            </a:effectLst>
            <a:latin typeface="+mn-lt"/>
          </a:endParaRPr>
        </a:p>
        <a:p>
          <a:endParaRPr lang="en-US" sz="1800" b="1" i="0" u="none" strike="noStrike">
            <a:gradFill>
              <a:gsLst>
                <a:gs pos="0">
                  <a:schemeClr val="accent1">
                    <a:lumMod val="45000"/>
                    <a:lumOff val="55000"/>
                  </a:schemeClr>
                </a:gs>
                <a:gs pos="80000">
                  <a:schemeClr val="accent1">
                    <a:lumMod val="75000"/>
                  </a:schemeClr>
                </a:gs>
              </a:gsLst>
              <a:lin ang="5400000" scaled="1"/>
            </a:gradFill>
            <a:effectLst>
              <a:outerShdw blurRad="50800" dist="38100" dir="5400000" algn="t" rotWithShape="0">
                <a:prstClr val="black">
                  <a:alpha val="40000"/>
                </a:prstClr>
              </a:outerShdw>
            </a:effectLst>
            <a:latin typeface="+mn-lt"/>
          </a:endParaRPr>
        </a:p>
        <a:p>
          <a:endParaRPr lang="en-US" sz="1800" b="1" i="0" u="none" strike="noStrike">
            <a:gradFill>
              <a:gsLst>
                <a:gs pos="0">
                  <a:schemeClr val="accent1">
                    <a:lumMod val="45000"/>
                    <a:lumOff val="55000"/>
                  </a:schemeClr>
                </a:gs>
                <a:gs pos="80000">
                  <a:schemeClr val="accent1">
                    <a:lumMod val="75000"/>
                  </a:schemeClr>
                </a:gs>
              </a:gsLst>
              <a:lin ang="5400000" scaled="1"/>
            </a:gradFill>
            <a:effectLst>
              <a:outerShdw blurRad="50800" dist="38100" dir="5400000" algn="t" rotWithShape="0">
                <a:prstClr val="black">
                  <a:alpha val="40000"/>
                </a:prstClr>
              </a:outerShdw>
            </a:effectLst>
            <a:latin typeface="+mn-lt"/>
          </a:endParaRPr>
        </a:p>
        <a:p>
          <a:endParaRPr lang="en-US" sz="1800" b="1" i="0" u="none" strike="noStrike">
            <a:gradFill>
              <a:gsLst>
                <a:gs pos="0">
                  <a:schemeClr val="accent1">
                    <a:lumMod val="45000"/>
                    <a:lumOff val="55000"/>
                  </a:schemeClr>
                </a:gs>
                <a:gs pos="80000">
                  <a:schemeClr val="accent1">
                    <a:lumMod val="75000"/>
                  </a:schemeClr>
                </a:gs>
              </a:gsLst>
              <a:lin ang="5400000" scaled="1"/>
            </a:gradFill>
            <a:effectLst>
              <a:outerShdw blurRad="50800" dist="38100" dir="5400000" algn="t" rotWithShape="0">
                <a:prstClr val="black">
                  <a:alpha val="40000"/>
                </a:prstClr>
              </a:outerShdw>
            </a:effectLst>
            <a:latin typeface="Aptos Narrow"/>
          </a:endParaRPr>
        </a:p>
      </xdr:txBody>
    </xdr:sp>
    <xdr:clientData/>
  </xdr:oneCellAnchor>
  <xdr:twoCellAnchor>
    <xdr:from>
      <xdr:col>1</xdr:col>
      <xdr:colOff>157363</xdr:colOff>
      <xdr:row>8</xdr:row>
      <xdr:rowOff>81735</xdr:rowOff>
    </xdr:from>
    <xdr:to>
      <xdr:col>2</xdr:col>
      <xdr:colOff>141733</xdr:colOff>
      <xdr:row>10</xdr:row>
      <xdr:rowOff>8467</xdr:rowOff>
    </xdr:to>
    <xdr:sp macro="" textlink="">
      <xdr:nvSpPr>
        <xdr:cNvPr id="5" name="TextBox 4">
          <a:extLst>
            <a:ext uri="{FF2B5EF4-FFF2-40B4-BE49-F238E27FC236}">
              <a16:creationId xmlns:a16="http://schemas.microsoft.com/office/drawing/2014/main" id="{D3F7EAC6-8B2A-C39B-7AC2-E4EE15E9C332}"/>
            </a:ext>
          </a:extLst>
        </xdr:cNvPr>
        <xdr:cNvSpPr txBox="1"/>
      </xdr:nvSpPr>
      <xdr:spPr>
        <a:xfrm>
          <a:off x="415460" y="1556574"/>
          <a:ext cx="1237983" cy="295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t>
          </a:r>
          <a:r>
            <a:rPr lang="en-IN" sz="1100">
              <a:solidFill>
                <a:schemeClr val="bg2"/>
              </a:solidFill>
            </a:rPr>
            <a:t>Orders</a:t>
          </a:r>
        </a:p>
      </xdr:txBody>
    </xdr:sp>
    <xdr:clientData/>
  </xdr:twoCellAnchor>
  <xdr:oneCellAnchor>
    <xdr:from>
      <xdr:col>0</xdr:col>
      <xdr:colOff>0</xdr:colOff>
      <xdr:row>6</xdr:row>
      <xdr:rowOff>126922</xdr:rowOff>
    </xdr:from>
    <xdr:ext cx="3785419" cy="254078"/>
    <xdr:sp macro="" textlink="">
      <xdr:nvSpPr>
        <xdr:cNvPr id="15" name="TextBox 14">
          <a:extLst>
            <a:ext uri="{FF2B5EF4-FFF2-40B4-BE49-F238E27FC236}">
              <a16:creationId xmlns:a16="http://schemas.microsoft.com/office/drawing/2014/main" id="{76579FA4-686E-613D-F417-ABDEE4982AE3}"/>
            </a:ext>
          </a:extLst>
        </xdr:cNvPr>
        <xdr:cNvSpPr txBox="1"/>
      </xdr:nvSpPr>
      <xdr:spPr>
        <a:xfrm>
          <a:off x="0" y="1233051"/>
          <a:ext cx="3785419" cy="254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a:solidFill>
                <a:schemeClr val="bg1"/>
              </a:solidFill>
            </a:rPr>
            <a:t>Key</a:t>
          </a:r>
          <a:r>
            <a:rPr lang="en-IN" sz="1400" baseline="0">
              <a:solidFill>
                <a:schemeClr val="bg1"/>
              </a:solidFill>
            </a:rPr>
            <a:t> Performance Indicators </a:t>
          </a:r>
          <a:endParaRPr lang="en-IN" sz="1400">
            <a:solidFill>
              <a:schemeClr val="bg1"/>
            </a:solidFill>
          </a:endParaRPr>
        </a:p>
      </xdr:txBody>
    </xdr:sp>
    <xdr:clientData/>
  </xdr:oneCellAnchor>
  <xdr:twoCellAnchor>
    <xdr:from>
      <xdr:col>0</xdr:col>
      <xdr:colOff>106439</xdr:colOff>
      <xdr:row>11</xdr:row>
      <xdr:rowOff>170406</xdr:rowOff>
    </xdr:from>
    <xdr:to>
      <xdr:col>2</xdr:col>
      <xdr:colOff>221368</xdr:colOff>
      <xdr:row>13</xdr:row>
      <xdr:rowOff>45848</xdr:rowOff>
    </xdr:to>
    <xdr:sp macro="" textlink="">
      <xdr:nvSpPr>
        <xdr:cNvPr id="18" name="TextBox 17">
          <a:extLst>
            <a:ext uri="{FF2B5EF4-FFF2-40B4-BE49-F238E27FC236}">
              <a16:creationId xmlns:a16="http://schemas.microsoft.com/office/drawing/2014/main" id="{638216EC-1585-7D00-94AC-586B0B84778E}"/>
            </a:ext>
          </a:extLst>
        </xdr:cNvPr>
        <xdr:cNvSpPr txBox="1"/>
      </xdr:nvSpPr>
      <xdr:spPr>
        <a:xfrm>
          <a:off x="106439" y="2206035"/>
          <a:ext cx="1628043" cy="245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solidFill>
              <a:schemeClr val="bg2"/>
            </a:solidFill>
          </a:endParaRPr>
        </a:p>
      </xdr:txBody>
    </xdr:sp>
    <xdr:clientData/>
  </xdr:twoCellAnchor>
  <xdr:twoCellAnchor>
    <xdr:from>
      <xdr:col>11</xdr:col>
      <xdr:colOff>496640</xdr:colOff>
      <xdr:row>7</xdr:row>
      <xdr:rowOff>53532</xdr:rowOff>
    </xdr:from>
    <xdr:to>
      <xdr:col>20</xdr:col>
      <xdr:colOff>58615</xdr:colOff>
      <xdr:row>22</xdr:row>
      <xdr:rowOff>14653</xdr:rowOff>
    </xdr:to>
    <xdr:sp macro="" textlink="">
      <xdr:nvSpPr>
        <xdr:cNvPr id="28" name="Rectangle 27">
          <a:extLst>
            <a:ext uri="{FF2B5EF4-FFF2-40B4-BE49-F238E27FC236}">
              <a16:creationId xmlns:a16="http://schemas.microsoft.com/office/drawing/2014/main" id="{64666B87-6E6A-FDF2-5D69-9C0B72E74B25}"/>
            </a:ext>
          </a:extLst>
        </xdr:cNvPr>
        <xdr:cNvSpPr/>
      </xdr:nvSpPr>
      <xdr:spPr>
        <a:xfrm>
          <a:off x="7178794" y="1284455"/>
          <a:ext cx="5101129" cy="2598813"/>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221407</xdr:colOff>
      <xdr:row>10</xdr:row>
      <xdr:rowOff>24708</xdr:rowOff>
    </xdr:from>
    <xdr:to>
      <xdr:col>19</xdr:col>
      <xdr:colOff>449741</xdr:colOff>
      <xdr:row>20</xdr:row>
      <xdr:rowOff>98322</xdr:rowOff>
    </xdr:to>
    <xdr:pic>
      <xdr:nvPicPr>
        <xdr:cNvPr id="27" name="Picture 26">
          <a:extLst>
            <a:ext uri="{FF2B5EF4-FFF2-40B4-BE49-F238E27FC236}">
              <a16:creationId xmlns:a16="http://schemas.microsoft.com/office/drawing/2014/main" id="{46B238FE-37FD-F10B-98C6-C7C547C7ED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09568" y="1868256"/>
          <a:ext cx="4529947" cy="19171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305059</xdr:colOff>
      <xdr:row>7</xdr:row>
      <xdr:rowOff>90965</xdr:rowOff>
    </xdr:from>
    <xdr:to>
      <xdr:col>26</xdr:col>
      <xdr:colOff>291821</xdr:colOff>
      <xdr:row>21</xdr:row>
      <xdr:rowOff>2512</xdr:rowOff>
    </xdr:to>
    <xdr:graphicFrame macro="">
      <xdr:nvGraphicFramePr>
        <xdr:cNvPr id="30" name="Chart 29">
          <a:extLst>
            <a:ext uri="{FF2B5EF4-FFF2-40B4-BE49-F238E27FC236}">
              <a16:creationId xmlns:a16="http://schemas.microsoft.com/office/drawing/2014/main" id="{88B60F78-7459-4F67-B1D7-B78365890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210349</xdr:colOff>
      <xdr:row>25</xdr:row>
      <xdr:rowOff>94110</xdr:rowOff>
    </xdr:from>
    <xdr:ext cx="1130252" cy="429964"/>
    <xdr:sp macro="" textlink="pivots1!K4">
      <xdr:nvSpPr>
        <xdr:cNvPr id="13" name="TextBox 12">
          <a:extLst>
            <a:ext uri="{FF2B5EF4-FFF2-40B4-BE49-F238E27FC236}">
              <a16:creationId xmlns:a16="http://schemas.microsoft.com/office/drawing/2014/main" id="{1523818C-B576-48D3-991D-69E1F216A72F}"/>
            </a:ext>
          </a:extLst>
        </xdr:cNvPr>
        <xdr:cNvSpPr txBox="1"/>
      </xdr:nvSpPr>
      <xdr:spPr>
        <a:xfrm>
          <a:off x="468446" y="4702981"/>
          <a:ext cx="1130252" cy="42996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B0692A69-27A1-47DD-AAB3-8B492CCFB7B8}" type="TxLink">
            <a:rPr lang="en-US" sz="1800" b="1" i="0" u="none" strike="noStrike">
              <a:gradFill>
                <a:gsLst>
                  <a:gs pos="0">
                    <a:schemeClr val="accent1">
                      <a:lumMod val="45000"/>
                      <a:lumOff val="55000"/>
                    </a:schemeClr>
                  </a:gs>
                  <a:gs pos="80000">
                    <a:schemeClr val="accent1">
                      <a:lumMod val="7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2.2</a:t>
          </a:fld>
          <a:endParaRPr lang="en-US" sz="1800" b="1" i="0" u="none" strike="noStrike">
            <a:gradFill>
              <a:gsLst>
                <a:gs pos="0">
                  <a:schemeClr val="accent1">
                    <a:lumMod val="45000"/>
                    <a:lumOff val="55000"/>
                  </a:schemeClr>
                </a:gs>
                <a:gs pos="80000">
                  <a:schemeClr val="accent1">
                    <a:lumMod val="7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oneCellAnchor>
  <xdr:oneCellAnchor>
    <xdr:from>
      <xdr:col>1</xdr:col>
      <xdr:colOff>198059</xdr:colOff>
      <xdr:row>21</xdr:row>
      <xdr:rowOff>51977</xdr:rowOff>
    </xdr:from>
    <xdr:ext cx="1130252" cy="429964"/>
    <xdr:sp macro="" textlink="pivots1!J4">
      <xdr:nvSpPr>
        <xdr:cNvPr id="14" name="TextBox 13">
          <a:extLst>
            <a:ext uri="{FF2B5EF4-FFF2-40B4-BE49-F238E27FC236}">
              <a16:creationId xmlns:a16="http://schemas.microsoft.com/office/drawing/2014/main" id="{555873F7-7530-4FFD-8AC9-7129F1853CF6}"/>
            </a:ext>
          </a:extLst>
        </xdr:cNvPr>
        <xdr:cNvSpPr txBox="1"/>
      </xdr:nvSpPr>
      <xdr:spPr>
        <a:xfrm>
          <a:off x="456156" y="3923429"/>
          <a:ext cx="1130252" cy="42996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60A8373E-52C0-4DED-B242-1AF67414F971}" type="TxLink">
            <a:rPr lang="en-US" sz="1800" b="1" i="0" u="none" strike="noStrike">
              <a:gradFill>
                <a:gsLst>
                  <a:gs pos="0">
                    <a:schemeClr val="accent1">
                      <a:lumMod val="45000"/>
                      <a:lumOff val="55000"/>
                    </a:schemeClr>
                  </a:gs>
                  <a:gs pos="80000">
                    <a:schemeClr val="accent1">
                      <a:lumMod val="7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3.9</a:t>
          </a:fld>
          <a:endParaRPr lang="en-US" sz="1800" b="1" i="0" u="none" strike="noStrike">
            <a:gradFill>
              <a:gsLst>
                <a:gs pos="0">
                  <a:schemeClr val="accent1">
                    <a:lumMod val="45000"/>
                    <a:lumOff val="55000"/>
                  </a:schemeClr>
                </a:gs>
                <a:gs pos="80000">
                  <a:schemeClr val="accent1">
                    <a:lumMod val="7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oneCellAnchor>
  <xdr:oneCellAnchor>
    <xdr:from>
      <xdr:col>1</xdr:col>
      <xdr:colOff>198059</xdr:colOff>
      <xdr:row>17</xdr:row>
      <xdr:rowOff>18310</xdr:rowOff>
    </xdr:from>
    <xdr:ext cx="1130252" cy="429964"/>
    <xdr:sp macro="" textlink="pivots1!I4">
      <xdr:nvSpPr>
        <xdr:cNvPr id="19" name="TextBox 18">
          <a:extLst>
            <a:ext uri="{FF2B5EF4-FFF2-40B4-BE49-F238E27FC236}">
              <a16:creationId xmlns:a16="http://schemas.microsoft.com/office/drawing/2014/main" id="{C75D5AE1-1E14-430F-86E3-E30F3B93E529}"/>
            </a:ext>
          </a:extLst>
        </xdr:cNvPr>
        <xdr:cNvSpPr txBox="1"/>
      </xdr:nvSpPr>
      <xdr:spPr>
        <a:xfrm>
          <a:off x="456156" y="3152342"/>
          <a:ext cx="1130252" cy="42996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301C2D6D-28C0-430F-ADDC-989D156A16BA}" type="TxLink">
            <a:rPr lang="en-US" sz="1800" b="1" i="0" u="none" strike="noStrike">
              <a:gradFill>
                <a:gsLst>
                  <a:gs pos="0">
                    <a:schemeClr val="accent1">
                      <a:lumMod val="45000"/>
                      <a:lumOff val="55000"/>
                    </a:schemeClr>
                  </a:gs>
                  <a:gs pos="80000">
                    <a:schemeClr val="accent1">
                      <a:lumMod val="7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$75.1k</a:t>
          </a:fld>
          <a:endParaRPr lang="en-US" sz="1800" b="1" i="0" u="none" strike="noStrike">
            <a:gradFill>
              <a:gsLst>
                <a:gs pos="0">
                  <a:schemeClr val="accent1">
                    <a:lumMod val="45000"/>
                    <a:lumOff val="55000"/>
                  </a:schemeClr>
                </a:gs>
                <a:gs pos="80000">
                  <a:schemeClr val="accent1">
                    <a:lumMod val="7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oneCellAnchor>
  <xdr:oneCellAnchor>
    <xdr:from>
      <xdr:col>1</xdr:col>
      <xdr:colOff>198059</xdr:colOff>
      <xdr:row>9</xdr:row>
      <xdr:rowOff>101463</xdr:rowOff>
    </xdr:from>
    <xdr:ext cx="1130252" cy="429964"/>
    <xdr:sp macro="" textlink="pivots1!H4">
      <xdr:nvSpPr>
        <xdr:cNvPr id="20" name="TextBox 19">
          <a:extLst>
            <a:ext uri="{FF2B5EF4-FFF2-40B4-BE49-F238E27FC236}">
              <a16:creationId xmlns:a16="http://schemas.microsoft.com/office/drawing/2014/main" id="{E160D2B6-4C35-427A-BE69-5B60E2216084}"/>
            </a:ext>
          </a:extLst>
        </xdr:cNvPr>
        <xdr:cNvSpPr txBox="1"/>
      </xdr:nvSpPr>
      <xdr:spPr>
        <a:xfrm>
          <a:off x="456156" y="1760657"/>
          <a:ext cx="1130252" cy="42996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2F163E21-DBAC-4782-AA62-C7D1E17514D6}" type="TxLink">
            <a:rPr lang="en-US" sz="1800" b="1" i="0" u="none" strike="noStrike">
              <a:gradFill>
                <a:gsLst>
                  <a:gs pos="0">
                    <a:schemeClr val="accent1">
                      <a:lumMod val="45000"/>
                      <a:lumOff val="55000"/>
                    </a:schemeClr>
                  </a:gs>
                  <a:gs pos="80000">
                    <a:schemeClr val="accent1">
                      <a:lumMod val="75000"/>
                    </a:schemeClr>
                  </a:gs>
                </a:gsLst>
                <a:lin ang="5400000" scaled="1"/>
              </a:gradFill>
              <a:effectLst>
                <a:outerShdw blurRad="50800" dist="38100" dir="5400000" algn="t" rotWithShape="0">
                  <a:prstClr val="black">
                    <a:alpha val="40000"/>
                  </a:prstClr>
                </a:outerShdw>
              </a:effectLst>
              <a:latin typeface="Aptos Narrow"/>
              <a:ea typeface="+mn-ea"/>
              <a:cs typeface="+mn-cs"/>
            </a:rPr>
            <a:pPr marL="0" indent="0"/>
            <a:t>1,388</a:t>
          </a:fld>
          <a:endParaRPr lang="en-US" sz="1800" b="1" i="0" u="none" strike="noStrike">
            <a:gradFill>
              <a:gsLst>
                <a:gs pos="0">
                  <a:schemeClr val="accent1">
                    <a:lumMod val="45000"/>
                    <a:lumOff val="55000"/>
                  </a:schemeClr>
                </a:gs>
                <a:gs pos="80000">
                  <a:schemeClr val="accent1">
                    <a:lumMod val="75000"/>
                  </a:schemeClr>
                </a:gs>
              </a:gsLst>
              <a:lin ang="5400000" scaled="1"/>
            </a:gradFill>
            <a:effectLst>
              <a:outerShdw blurRad="50800" dist="38100" dir="5400000" algn="t" rotWithShape="0">
                <a:prstClr val="black">
                  <a:alpha val="40000"/>
                </a:prstClr>
              </a:outerShdw>
            </a:effectLst>
            <a:latin typeface="Aptos Narrow"/>
            <a:ea typeface="+mn-ea"/>
            <a:cs typeface="+mn-cs"/>
          </a:endParaRPr>
        </a:p>
      </xdr:txBody>
    </xdr:sp>
    <xdr:clientData/>
  </xdr:oneCellAnchor>
  <xdr:twoCellAnchor>
    <xdr:from>
      <xdr:col>1</xdr:col>
      <xdr:colOff>182009</xdr:colOff>
      <xdr:row>11</xdr:row>
      <xdr:rowOff>165858</xdr:rowOff>
    </xdr:from>
    <xdr:to>
      <xdr:col>1</xdr:col>
      <xdr:colOff>1061332</xdr:colOff>
      <xdr:row>13</xdr:row>
      <xdr:rowOff>15370</xdr:rowOff>
    </xdr:to>
    <xdr:sp macro="" textlink="">
      <xdr:nvSpPr>
        <xdr:cNvPr id="21" name="TextBox 20">
          <a:extLst>
            <a:ext uri="{FF2B5EF4-FFF2-40B4-BE49-F238E27FC236}">
              <a16:creationId xmlns:a16="http://schemas.microsoft.com/office/drawing/2014/main" id="{D3C43954-42DF-63A1-D617-2D383CD8EFE1}"/>
            </a:ext>
          </a:extLst>
        </xdr:cNvPr>
        <xdr:cNvSpPr txBox="1"/>
      </xdr:nvSpPr>
      <xdr:spPr>
        <a:xfrm>
          <a:off x="440106" y="2193761"/>
          <a:ext cx="879323" cy="218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t>
          </a:r>
          <a:r>
            <a:rPr lang="en-IN" sz="1100">
              <a:solidFill>
                <a:schemeClr val="bg1"/>
              </a:solidFill>
            </a:rPr>
            <a:t>Quality</a:t>
          </a:r>
        </a:p>
      </xdr:txBody>
    </xdr:sp>
    <xdr:clientData/>
  </xdr:twoCellAnchor>
  <xdr:twoCellAnchor>
    <xdr:from>
      <xdr:col>1</xdr:col>
      <xdr:colOff>142094</xdr:colOff>
      <xdr:row>15</xdr:row>
      <xdr:rowOff>82904</xdr:rowOff>
    </xdr:from>
    <xdr:to>
      <xdr:col>1</xdr:col>
      <xdr:colOff>1123018</xdr:colOff>
      <xdr:row>17</xdr:row>
      <xdr:rowOff>15170</xdr:rowOff>
    </xdr:to>
    <xdr:sp macro="" textlink="">
      <xdr:nvSpPr>
        <xdr:cNvPr id="22" name="TextBox 21">
          <a:extLst>
            <a:ext uri="{FF2B5EF4-FFF2-40B4-BE49-F238E27FC236}">
              <a16:creationId xmlns:a16="http://schemas.microsoft.com/office/drawing/2014/main" id="{65A935B5-2E68-C01E-03F2-C1A7C80415FE}"/>
            </a:ext>
          </a:extLst>
        </xdr:cNvPr>
        <xdr:cNvSpPr txBox="1"/>
      </xdr:nvSpPr>
      <xdr:spPr>
        <a:xfrm>
          <a:off x="400191" y="2848227"/>
          <a:ext cx="980924" cy="30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t>
          </a:r>
          <a:r>
            <a:rPr lang="en-IN" sz="1100">
              <a:solidFill>
                <a:schemeClr val="bg1"/>
              </a:solidFill>
            </a:rPr>
            <a:t>Amount</a:t>
          </a:r>
        </a:p>
      </xdr:txBody>
    </xdr:sp>
    <xdr:clientData/>
  </xdr:twoCellAnchor>
  <xdr:twoCellAnchor>
    <xdr:from>
      <xdr:col>1</xdr:col>
      <xdr:colOff>133023</xdr:colOff>
      <xdr:row>19</xdr:row>
      <xdr:rowOff>82704</xdr:rowOff>
    </xdr:from>
    <xdr:to>
      <xdr:col>1</xdr:col>
      <xdr:colOff>1240947</xdr:colOff>
      <xdr:row>21</xdr:row>
      <xdr:rowOff>48837</xdr:rowOff>
    </xdr:to>
    <xdr:sp macro="" textlink="">
      <xdr:nvSpPr>
        <xdr:cNvPr id="23" name="TextBox 22">
          <a:extLst>
            <a:ext uri="{FF2B5EF4-FFF2-40B4-BE49-F238E27FC236}">
              <a16:creationId xmlns:a16="http://schemas.microsoft.com/office/drawing/2014/main" id="{702BAD14-5095-9929-097A-6B98B52B3F10}"/>
            </a:ext>
          </a:extLst>
        </xdr:cNvPr>
        <xdr:cNvSpPr txBox="1"/>
      </xdr:nvSpPr>
      <xdr:spPr>
        <a:xfrm>
          <a:off x="391120" y="3585446"/>
          <a:ext cx="1107924" cy="334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t>
          </a:r>
          <a:r>
            <a:rPr lang="en-IN" sz="1100">
              <a:solidFill>
                <a:schemeClr val="bg1"/>
              </a:solidFill>
            </a:rPr>
            <a:t>Avg. Rating</a:t>
          </a:r>
        </a:p>
      </xdr:txBody>
    </xdr:sp>
    <xdr:clientData/>
  </xdr:twoCellAnchor>
  <xdr:twoCellAnchor>
    <xdr:from>
      <xdr:col>1</xdr:col>
      <xdr:colOff>88272</xdr:colOff>
      <xdr:row>23</xdr:row>
      <xdr:rowOff>116372</xdr:rowOff>
    </xdr:from>
    <xdr:to>
      <xdr:col>3</xdr:col>
      <xdr:colOff>186242</xdr:colOff>
      <xdr:row>25</xdr:row>
      <xdr:rowOff>90973</xdr:rowOff>
    </xdr:to>
    <xdr:sp macro="" textlink="">
      <xdr:nvSpPr>
        <xdr:cNvPr id="24" name="TextBox 23">
          <a:extLst>
            <a:ext uri="{FF2B5EF4-FFF2-40B4-BE49-F238E27FC236}">
              <a16:creationId xmlns:a16="http://schemas.microsoft.com/office/drawing/2014/main" id="{D00BC0BC-FAA2-086D-9BE3-4F85C62E51BD}"/>
            </a:ext>
          </a:extLst>
        </xdr:cNvPr>
        <xdr:cNvSpPr txBox="1"/>
      </xdr:nvSpPr>
      <xdr:spPr>
        <a:xfrm>
          <a:off x="346369" y="4356533"/>
          <a:ext cx="1597389" cy="34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a:t>
          </a:r>
          <a:r>
            <a:rPr lang="en-IN" sz="1100">
              <a:solidFill>
                <a:schemeClr val="bg1"/>
              </a:solidFill>
              <a:effectLst/>
              <a:latin typeface="+mn-lt"/>
              <a:ea typeface="+mn-ea"/>
              <a:cs typeface="+mn-cs"/>
            </a:rPr>
            <a:t>Days</a:t>
          </a:r>
          <a:r>
            <a:rPr lang="en-IN" sz="1100" baseline="0">
              <a:solidFill>
                <a:schemeClr val="bg1"/>
              </a:solidFill>
              <a:effectLst/>
              <a:latin typeface="+mn-lt"/>
              <a:ea typeface="+mn-ea"/>
              <a:cs typeface="+mn-cs"/>
            </a:rPr>
            <a:t> to Deliver</a:t>
          </a:r>
          <a:endParaRPr lang="en-IN">
            <a:solidFill>
              <a:schemeClr val="bg1"/>
            </a:solidFill>
            <a:effectLst/>
          </a:endParaRPr>
        </a:p>
        <a:p>
          <a:endParaRPr lang="en-IN" sz="1100"/>
        </a:p>
      </xdr:txBody>
    </xdr:sp>
    <xdr:clientData/>
  </xdr:twoCellAnchor>
  <xdr:twoCellAnchor>
    <xdr:from>
      <xdr:col>3</xdr:col>
      <xdr:colOff>602386</xdr:colOff>
      <xdr:row>7</xdr:row>
      <xdr:rowOff>49118</xdr:rowOff>
    </xdr:from>
    <xdr:to>
      <xdr:col>11</xdr:col>
      <xdr:colOff>293322</xdr:colOff>
      <xdr:row>21</xdr:row>
      <xdr:rowOff>175374</xdr:rowOff>
    </xdr:to>
    <xdr:graphicFrame macro="">
      <xdr:nvGraphicFramePr>
        <xdr:cNvPr id="25" name="Chart 24">
          <a:extLst>
            <a:ext uri="{FF2B5EF4-FFF2-40B4-BE49-F238E27FC236}">
              <a16:creationId xmlns:a16="http://schemas.microsoft.com/office/drawing/2014/main" id="{BF375AF1-2B41-4FAD-A8F5-79476FF5F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576422</xdr:colOff>
      <xdr:row>22</xdr:row>
      <xdr:rowOff>170401</xdr:rowOff>
    </xdr:from>
    <xdr:to>
      <xdr:col>11</xdr:col>
      <xdr:colOff>239841</xdr:colOff>
      <xdr:row>48</xdr:row>
      <xdr:rowOff>87922</xdr:rowOff>
    </xdr:to>
    <xdr:graphicFrame macro="">
      <xdr:nvGraphicFramePr>
        <xdr:cNvPr id="26" name="Chart 25">
          <a:extLst>
            <a:ext uri="{FF2B5EF4-FFF2-40B4-BE49-F238E27FC236}">
              <a16:creationId xmlns:a16="http://schemas.microsoft.com/office/drawing/2014/main" id="{025AC112-D021-413C-A78E-10182F3773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558467</xdr:colOff>
      <xdr:row>28</xdr:row>
      <xdr:rowOff>16453</xdr:rowOff>
    </xdr:from>
    <xdr:to>
      <xdr:col>15</xdr:col>
      <xdr:colOff>84587</xdr:colOff>
      <xdr:row>28</xdr:row>
      <xdr:rowOff>17173</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
          <xdr14:nvContentPartPr>
            <xdr14:cNvPr id="35" name="Ink 34">
              <a:extLst>
                <a:ext uri="{FF2B5EF4-FFF2-40B4-BE49-F238E27FC236}">
                  <a16:creationId xmlns:a16="http://schemas.microsoft.com/office/drawing/2014/main" id="{A73C4247-680D-153E-5A24-3A62794B95CE}"/>
                </a:ext>
              </a:extLst>
            </xdr14:cNvPr>
            <xdr14:cNvContentPartPr/>
          </xdr14:nvContentPartPr>
          <xdr14:nvPr macro=""/>
          <xdr14:xfrm>
            <a:off x="8864267" y="5231920"/>
            <a:ext cx="135720" cy="720"/>
          </xdr14:xfrm>
        </xdr:contentPart>
      </mc:Choice>
      <mc:Fallback xmlns="">
        <xdr:pic>
          <xdr:nvPicPr>
            <xdr:cNvPr id="35" name="Ink 34">
              <a:extLst>
                <a:ext uri="{FF2B5EF4-FFF2-40B4-BE49-F238E27FC236}">
                  <a16:creationId xmlns:a16="http://schemas.microsoft.com/office/drawing/2014/main" id="{A73C4247-680D-153E-5A24-3A62794B95CE}"/>
                </a:ext>
              </a:extLst>
            </xdr:cNvPr>
            <xdr:cNvPicPr/>
          </xdr:nvPicPr>
          <xdr:blipFill>
            <a:blip xmlns:r="http://schemas.openxmlformats.org/officeDocument/2006/relationships" r:embed="rId6"/>
            <a:stretch>
              <a:fillRect/>
            </a:stretch>
          </xdr:blipFill>
          <xdr:spPr>
            <a:xfrm>
              <a:off x="8855267" y="5123920"/>
              <a:ext cx="153360" cy="216000"/>
            </a:xfrm>
            <a:prstGeom prst="rect">
              <a:avLst/>
            </a:prstGeom>
          </xdr:spPr>
        </xdr:pic>
      </mc:Fallback>
    </mc:AlternateContent>
    <xdr:clientData/>
  </xdr:twoCellAnchor>
  <xdr:twoCellAnchor editAs="oneCell">
    <xdr:from>
      <xdr:col>15</xdr:col>
      <xdr:colOff>279347</xdr:colOff>
      <xdr:row>28</xdr:row>
      <xdr:rowOff>84493</xdr:rowOff>
    </xdr:from>
    <xdr:to>
      <xdr:col>15</xdr:col>
      <xdr:colOff>397427</xdr:colOff>
      <xdr:row>28</xdr:row>
      <xdr:rowOff>84853</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
          <xdr14:nvContentPartPr>
            <xdr14:cNvPr id="38" name="Ink 37">
              <a:extLst>
                <a:ext uri="{FF2B5EF4-FFF2-40B4-BE49-F238E27FC236}">
                  <a16:creationId xmlns:a16="http://schemas.microsoft.com/office/drawing/2014/main" id="{4963B257-06B2-A7F1-59E1-34BA9247BA9C}"/>
                </a:ext>
              </a:extLst>
            </xdr14:cNvPr>
            <xdr14:cNvContentPartPr/>
          </xdr14:nvContentPartPr>
          <xdr14:nvPr macro=""/>
          <xdr14:xfrm>
            <a:off x="9194747" y="5299960"/>
            <a:ext cx="118080" cy="360"/>
          </xdr14:xfrm>
        </xdr:contentPart>
      </mc:Choice>
      <mc:Fallback xmlns="">
        <xdr:pic>
          <xdr:nvPicPr>
            <xdr:cNvPr id="38" name="Ink 37">
              <a:extLst>
                <a:ext uri="{FF2B5EF4-FFF2-40B4-BE49-F238E27FC236}">
                  <a16:creationId xmlns:a16="http://schemas.microsoft.com/office/drawing/2014/main" id="{4963B257-06B2-A7F1-59E1-34BA9247BA9C}"/>
                </a:ext>
              </a:extLst>
            </xdr:cNvPr>
            <xdr:cNvPicPr/>
          </xdr:nvPicPr>
          <xdr:blipFill>
            <a:blip xmlns:r="http://schemas.openxmlformats.org/officeDocument/2006/relationships" r:embed="rId8"/>
            <a:stretch>
              <a:fillRect/>
            </a:stretch>
          </xdr:blipFill>
          <xdr:spPr>
            <a:xfrm>
              <a:off x="9185747" y="5245960"/>
              <a:ext cx="135720" cy="108000"/>
            </a:xfrm>
            <a:prstGeom prst="rect">
              <a:avLst/>
            </a:prstGeom>
          </xdr:spPr>
        </xdr:pic>
      </mc:Fallback>
    </mc:AlternateContent>
    <xdr:clientData/>
  </xdr:twoCellAnchor>
  <xdr:twoCellAnchor editAs="oneCell">
    <xdr:from>
      <xdr:col>16</xdr:col>
      <xdr:colOff>8147</xdr:colOff>
      <xdr:row>45</xdr:row>
      <xdr:rowOff>8200</xdr:rowOff>
    </xdr:from>
    <xdr:to>
      <xdr:col>16</xdr:col>
      <xdr:colOff>8507</xdr:colOff>
      <xdr:row>45</xdr:row>
      <xdr:rowOff>8560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
          <xdr14:nvContentPartPr>
            <xdr14:cNvPr id="39" name="Ink 38">
              <a:extLst>
                <a:ext uri="{FF2B5EF4-FFF2-40B4-BE49-F238E27FC236}">
                  <a16:creationId xmlns:a16="http://schemas.microsoft.com/office/drawing/2014/main" id="{472AEB22-445B-D712-FF3C-C1BEA73CB3B6}"/>
                </a:ext>
              </a:extLst>
            </xdr14:cNvPr>
            <xdr14:cNvContentPartPr/>
          </xdr14:nvContentPartPr>
          <xdr14:nvPr macro=""/>
          <xdr14:xfrm>
            <a:off x="9533147" y="8390200"/>
            <a:ext cx="360" cy="360"/>
          </xdr14:xfrm>
        </xdr:contentPart>
      </mc:Choice>
      <mc:Fallback xmlns="">
        <xdr:pic>
          <xdr:nvPicPr>
            <xdr:cNvPr id="39" name="Ink 38">
              <a:extLst>
                <a:ext uri="{FF2B5EF4-FFF2-40B4-BE49-F238E27FC236}">
                  <a16:creationId xmlns:a16="http://schemas.microsoft.com/office/drawing/2014/main" id="{472AEB22-445B-D712-FF3C-C1BEA73CB3B6}"/>
                </a:ext>
              </a:extLst>
            </xdr:cNvPr>
            <xdr:cNvPicPr/>
          </xdr:nvPicPr>
          <xdr:blipFill>
            <a:blip xmlns:r="http://schemas.openxmlformats.org/officeDocument/2006/relationships" r:embed="rId10"/>
            <a:stretch>
              <a:fillRect/>
            </a:stretch>
          </xdr:blipFill>
          <xdr:spPr>
            <a:xfrm>
              <a:off x="9524507" y="8336560"/>
              <a:ext cx="18000" cy="108000"/>
            </a:xfrm>
            <a:prstGeom prst="rect">
              <a:avLst/>
            </a:prstGeom>
          </xdr:spPr>
        </xdr:pic>
      </mc:Fallback>
    </mc:AlternateContent>
    <xdr:clientData/>
  </xdr:twoCellAnchor>
  <xdr:twoCellAnchor editAs="oneCell">
    <xdr:from>
      <xdr:col>7</xdr:col>
      <xdr:colOff>516467</xdr:colOff>
      <xdr:row>33</xdr:row>
      <xdr:rowOff>67560</xdr:rowOff>
    </xdr:from>
    <xdr:to>
      <xdr:col>7</xdr:col>
      <xdr:colOff>516827</xdr:colOff>
      <xdr:row>33</xdr:row>
      <xdr:rowOff>67920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1">
          <xdr14:nvContentPartPr>
            <xdr14:cNvPr id="40" name="Ink 39">
              <a:extLst>
                <a:ext uri="{FF2B5EF4-FFF2-40B4-BE49-F238E27FC236}">
                  <a16:creationId xmlns:a16="http://schemas.microsoft.com/office/drawing/2014/main" id="{C5E33406-85F7-8C51-2493-FA3DC5A189ED}"/>
                </a:ext>
              </a:extLst>
            </xdr14:cNvPr>
            <xdr14:cNvContentPartPr/>
          </xdr14:nvContentPartPr>
          <xdr14:nvPr macro=""/>
          <xdr14:xfrm>
            <a:off x="4555067" y="6214360"/>
            <a:ext cx="360" cy="360"/>
          </xdr14:xfrm>
        </xdr:contentPart>
      </mc:Choice>
      <mc:Fallback xmlns="">
        <xdr:pic>
          <xdr:nvPicPr>
            <xdr:cNvPr id="40" name="Ink 39">
              <a:extLst>
                <a:ext uri="{FF2B5EF4-FFF2-40B4-BE49-F238E27FC236}">
                  <a16:creationId xmlns:a16="http://schemas.microsoft.com/office/drawing/2014/main" id="{C5E33406-85F7-8C51-2493-FA3DC5A189ED}"/>
                </a:ext>
              </a:extLst>
            </xdr:cNvPr>
            <xdr:cNvPicPr/>
          </xdr:nvPicPr>
          <xdr:blipFill>
            <a:blip xmlns:r="http://schemas.openxmlformats.org/officeDocument/2006/relationships" r:embed="rId12"/>
            <a:stretch>
              <a:fillRect/>
            </a:stretch>
          </xdr:blipFill>
          <xdr:spPr>
            <a:xfrm>
              <a:off x="4546067" y="6160360"/>
              <a:ext cx="18000" cy="108000"/>
            </a:xfrm>
            <a:prstGeom prst="rect">
              <a:avLst/>
            </a:prstGeom>
          </xdr:spPr>
        </xdr:pic>
      </mc:Fallback>
    </mc:AlternateContent>
    <xdr:clientData/>
  </xdr:twoCellAnchor>
  <xdr:twoCellAnchor>
    <xdr:from>
      <xdr:col>11</xdr:col>
      <xdr:colOff>464584</xdr:colOff>
      <xdr:row>23</xdr:row>
      <xdr:rowOff>54852</xdr:rowOff>
    </xdr:from>
    <xdr:to>
      <xdr:col>20</xdr:col>
      <xdr:colOff>58615</xdr:colOff>
      <xdr:row>48</xdr:row>
      <xdr:rowOff>97850</xdr:rowOff>
    </xdr:to>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C06B6DA1-CC41-44D5-9414-3E5F65F664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7138229" y="4295013"/>
              <a:ext cx="5124676" cy="46518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4075</xdr:colOff>
      <xdr:row>29</xdr:row>
      <xdr:rowOff>5266</xdr:rowOff>
    </xdr:from>
    <xdr:to>
      <xdr:col>18</xdr:col>
      <xdr:colOff>608097</xdr:colOff>
      <xdr:row>36</xdr:row>
      <xdr:rowOff>165307</xdr:rowOff>
    </xdr:to>
    <mc:AlternateContent xmlns:mc="http://schemas.openxmlformats.org/markup-compatibility/2006">
      <mc:Choice xmlns:cx4="http://schemas.microsoft.com/office/drawing/2016/5/10/chartex" Requires="cx4">
        <xdr:graphicFrame macro="">
          <xdr:nvGraphicFramePr>
            <xdr:cNvPr id="45" name="Chart 44">
              <a:extLst>
                <a:ext uri="{FF2B5EF4-FFF2-40B4-BE49-F238E27FC236}">
                  <a16:creationId xmlns:a16="http://schemas.microsoft.com/office/drawing/2014/main" id="{FD2331B5-CCBA-47D0-95B8-24F6D13DE3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0364817" y="5351556"/>
              <a:ext cx="1218538" cy="14505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389467</xdr:colOff>
      <xdr:row>24</xdr:row>
      <xdr:rowOff>59267</xdr:rowOff>
    </xdr:from>
    <xdr:to>
      <xdr:col>19</xdr:col>
      <xdr:colOff>152400</xdr:colOff>
      <xdr:row>31</xdr:row>
      <xdr:rowOff>59266</xdr:rowOff>
    </xdr:to>
    <xdr:sp macro="" textlink="">
      <xdr:nvSpPr>
        <xdr:cNvPr id="46" name="Rectangle 45">
          <a:extLst>
            <a:ext uri="{FF2B5EF4-FFF2-40B4-BE49-F238E27FC236}">
              <a16:creationId xmlns:a16="http://schemas.microsoft.com/office/drawing/2014/main" id="{6171982E-5D5B-0D4B-BF0E-D9FA91B9AE51}"/>
            </a:ext>
          </a:extLst>
        </xdr:cNvPr>
        <xdr:cNvSpPr/>
      </xdr:nvSpPr>
      <xdr:spPr>
        <a:xfrm>
          <a:off x="10524067" y="4529667"/>
          <a:ext cx="982133" cy="130386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297490</xdr:colOff>
      <xdr:row>22</xdr:row>
      <xdr:rowOff>102500</xdr:rowOff>
    </xdr:from>
    <xdr:to>
      <xdr:col>26</xdr:col>
      <xdr:colOff>274656</xdr:colOff>
      <xdr:row>35</xdr:row>
      <xdr:rowOff>65314</xdr:rowOff>
    </xdr:to>
    <xdr:graphicFrame macro="">
      <xdr:nvGraphicFramePr>
        <xdr:cNvPr id="47" name="Chart 46">
          <a:extLst>
            <a:ext uri="{FF2B5EF4-FFF2-40B4-BE49-F238E27FC236}">
              <a16:creationId xmlns:a16="http://schemas.microsoft.com/office/drawing/2014/main" id="{8C8DC139-4A38-4229-85B8-F77D81ECE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20</xdr:col>
      <xdr:colOff>321480</xdr:colOff>
      <xdr:row>37</xdr:row>
      <xdr:rowOff>44209</xdr:rowOff>
    </xdr:from>
    <xdr:to>
      <xdr:col>26</xdr:col>
      <xdr:colOff>321966</xdr:colOff>
      <xdr:row>48</xdr:row>
      <xdr:rowOff>102158</xdr:rowOff>
    </xdr:to>
    <xdr:graphicFrame macro="">
      <xdr:nvGraphicFramePr>
        <xdr:cNvPr id="48" name="Chart 47">
          <a:extLst>
            <a:ext uri="{FF2B5EF4-FFF2-40B4-BE49-F238E27FC236}">
              <a16:creationId xmlns:a16="http://schemas.microsoft.com/office/drawing/2014/main" id="{38A8E965-63F2-4045-8B1D-4237379D1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191405</xdr:colOff>
      <xdr:row>28</xdr:row>
      <xdr:rowOff>25898</xdr:rowOff>
    </xdr:from>
    <xdr:to>
      <xdr:col>3</xdr:col>
      <xdr:colOff>196645</xdr:colOff>
      <xdr:row>39</xdr:row>
      <xdr:rowOff>49161</xdr:rowOff>
    </xdr:to>
    <mc:AlternateContent xmlns:mc="http://schemas.openxmlformats.org/markup-compatibility/2006">
      <mc:Choice xmlns:a14="http://schemas.microsoft.com/office/drawing/2010/main" Requires="a14">
        <xdr:graphicFrame macro="">
          <xdr:nvGraphicFramePr>
            <xdr:cNvPr id="4" name="Order Mode">
              <a:extLst>
                <a:ext uri="{FF2B5EF4-FFF2-40B4-BE49-F238E27FC236}">
                  <a16:creationId xmlns:a16="http://schemas.microsoft.com/office/drawing/2014/main" id="{FB9495F7-5081-4037-BD3A-E70D4A674A3B}"/>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191405" y="5187833"/>
              <a:ext cx="1762756" cy="2051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180955</xdr:colOff>
      <xdr:row>39</xdr:row>
      <xdr:rowOff>160955</xdr:rowOff>
    </xdr:from>
    <xdr:to>
      <xdr:col>3</xdr:col>
      <xdr:colOff>205153</xdr:colOff>
      <xdr:row>49</xdr:row>
      <xdr:rowOff>49162</xdr:rowOff>
    </xdr:to>
    <mc:AlternateContent xmlns:mc="http://schemas.openxmlformats.org/markup-compatibility/2006">
      <mc:Choice xmlns:a14="http://schemas.microsoft.com/office/drawing/2010/main" Requires="a14">
        <xdr:graphicFrame macro="">
          <xdr:nvGraphicFramePr>
            <xdr:cNvPr id="6" name="Gender Value">
              <a:extLst>
                <a:ext uri="{FF2B5EF4-FFF2-40B4-BE49-F238E27FC236}">
                  <a16:creationId xmlns:a16="http://schemas.microsoft.com/office/drawing/2014/main" id="{D7E2D870-BD02-4B00-A171-F24B0031A71B}"/>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180955" y="7350794"/>
              <a:ext cx="1781714" cy="17317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373151</xdr:colOff>
      <xdr:row>7</xdr:row>
      <xdr:rowOff>170279</xdr:rowOff>
    </xdr:from>
    <xdr:to>
      <xdr:col>18</xdr:col>
      <xdr:colOff>294967</xdr:colOff>
      <xdr:row>10</xdr:row>
      <xdr:rowOff>61452</xdr:rowOff>
    </xdr:to>
    <xdr:sp macro="" textlink="">
      <xdr:nvSpPr>
        <xdr:cNvPr id="9" name="TextBox 8">
          <a:extLst>
            <a:ext uri="{FF2B5EF4-FFF2-40B4-BE49-F238E27FC236}">
              <a16:creationId xmlns:a16="http://schemas.microsoft.com/office/drawing/2014/main" id="{3486E7B3-8992-BC2D-7B93-873E84D6D4DB}"/>
            </a:ext>
          </a:extLst>
        </xdr:cNvPr>
        <xdr:cNvSpPr txBox="1"/>
      </xdr:nvSpPr>
      <xdr:spPr>
        <a:xfrm>
          <a:off x="8275828" y="1460763"/>
          <a:ext cx="2994397" cy="4442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Customer</a:t>
          </a:r>
          <a:r>
            <a:rPr lang="en-IN" sz="1400" b="1" baseline="0"/>
            <a:t> Purchase by Order Mode</a:t>
          </a:r>
          <a:endParaRPr lang="en-IN" sz="1400" b="1"/>
        </a:p>
      </xdr:txBody>
    </xdr:sp>
    <xdr:clientData/>
  </xdr:twoCellAnchor>
  <xdr:twoCellAnchor>
    <xdr:from>
      <xdr:col>0</xdr:col>
      <xdr:colOff>35718</xdr:colOff>
      <xdr:row>0</xdr:row>
      <xdr:rowOff>10886</xdr:rowOff>
    </xdr:from>
    <xdr:to>
      <xdr:col>26</xdr:col>
      <xdr:colOff>571499</xdr:colOff>
      <xdr:row>6</xdr:row>
      <xdr:rowOff>119743</xdr:rowOff>
    </xdr:to>
    <xdr:sp macro="" textlink="">
      <xdr:nvSpPr>
        <xdr:cNvPr id="10" name="Rectangle 9">
          <a:extLst>
            <a:ext uri="{FF2B5EF4-FFF2-40B4-BE49-F238E27FC236}">
              <a16:creationId xmlns:a16="http://schemas.microsoft.com/office/drawing/2014/main" id="{FC580E58-725B-C7BE-FEF0-40DD7C53C2DD}"/>
            </a:ext>
          </a:extLst>
        </xdr:cNvPr>
        <xdr:cNvSpPr/>
      </xdr:nvSpPr>
      <xdr:spPr>
        <a:xfrm>
          <a:off x="35718" y="10886"/>
          <a:ext cx="16252031" cy="11804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10885</xdr:colOff>
      <xdr:row>0</xdr:row>
      <xdr:rowOff>97972</xdr:rowOff>
    </xdr:from>
    <xdr:to>
      <xdr:col>21</xdr:col>
      <xdr:colOff>555170</xdr:colOff>
      <xdr:row>7</xdr:row>
      <xdr:rowOff>32658</xdr:rowOff>
    </xdr:to>
    <xdr:sp macro="" textlink="">
      <xdr:nvSpPr>
        <xdr:cNvPr id="11" name="TextBox 10">
          <a:extLst>
            <a:ext uri="{FF2B5EF4-FFF2-40B4-BE49-F238E27FC236}">
              <a16:creationId xmlns:a16="http://schemas.microsoft.com/office/drawing/2014/main" id="{5B3BF9F1-22CF-5E43-9033-D89535B83B23}"/>
            </a:ext>
          </a:extLst>
        </xdr:cNvPr>
        <xdr:cNvSpPr txBox="1"/>
      </xdr:nvSpPr>
      <xdr:spPr>
        <a:xfrm>
          <a:off x="4201885" y="97972"/>
          <a:ext cx="9078685" cy="1230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solidFill>
                <a:schemeClr val="bg1"/>
              </a:solidFill>
            </a:rPr>
            <a:t>E-COMMERCE SALES DASHBOARD</a:t>
          </a:r>
        </a:p>
        <a:p>
          <a:pPr algn="ctr"/>
          <a:r>
            <a:rPr lang="en-IN" sz="2000" b="1">
              <a:solidFill>
                <a:schemeClr val="bg1"/>
              </a:solidFill>
            </a:rPr>
            <a:t>Overview of</a:t>
          </a:r>
          <a:r>
            <a:rPr lang="en-IN" sz="2000" b="1" baseline="0">
              <a:solidFill>
                <a:schemeClr val="bg1"/>
              </a:solidFill>
            </a:rPr>
            <a:t> Sales Performance</a:t>
          </a:r>
          <a:endParaRPr lang="en-IN" sz="2000" b="1">
            <a:solidFill>
              <a:schemeClr val="bg1"/>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0.31756</cdr:x>
      <cdr:y>0.64009</cdr:y>
    </cdr:from>
    <cdr:to>
      <cdr:x>0.69536</cdr:x>
      <cdr:y>0.89935</cdr:y>
    </cdr:to>
    <cdr:pic>
      <cdr:nvPicPr>
        <cdr:cNvPr id="2" name="chart">
          <a:extLst xmlns:a="http://schemas.openxmlformats.org/drawingml/2006/main">
            <a:ext uri="{FF2B5EF4-FFF2-40B4-BE49-F238E27FC236}">
              <a16:creationId xmlns:a16="http://schemas.microsoft.com/office/drawing/2014/main" id="{3A36AAC7-10AB-F9CB-F42A-C38A53934A0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454287" y="3015311"/>
          <a:ext cx="1730129" cy="1221300"/>
        </a:xfrm>
        <a:prstGeom xmlns:a="http://schemas.openxmlformats.org/drawingml/2006/main" prst="rect">
          <a:avLst/>
        </a:prstGeom>
      </cdr:spPr>
    </cdr:pic>
  </cdr:relSizeAnchor>
</c:userShapes>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30T09:11:50.615"/>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377 10 0,'-376'0'0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30T09:12:00.747"/>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0 0,'4'0,"5"0,6 0,3 0,4 0,1 0,1 0,1 0,-1 0,1 0,-1 0,0 0,-1 0,1 0,-1 0,-3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30T09:12:05.228"/>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1 1,'0'0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7-30T09:12:54.402"/>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0 0,'0'0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 ANUSHA" refreshedDate="46222.860746180559" createdVersion="8" refreshedVersion="8" minRefreshableVersion="3" recordCount="2400" xr:uid="{20C4E2DD-852C-45A4-B3B2-94CF4063F216}">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9383055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s v=""/>
    <x v="0"/>
    <x v="0"/>
    <x v="0"/>
    <x v="0"/>
    <x v="0"/>
    <x v="0"/>
    <x v="0"/>
  </r>
  <r>
    <x v="1"/>
    <x v="1"/>
    <x v="1"/>
    <n v="30.6"/>
    <n v="61.2"/>
    <x v="0"/>
    <d v="2025-01-03T00:00:00"/>
    <s v="M"/>
    <x v="0"/>
    <x v="0"/>
    <x v="0"/>
    <x v="1"/>
    <x v="1"/>
    <x v="0"/>
    <x v="1"/>
  </r>
  <r>
    <x v="2"/>
    <x v="2"/>
    <x v="2"/>
    <n v="109.4"/>
    <n v="328.20000000000005"/>
    <x v="0"/>
    <d v="2025-01-04T00:00:00"/>
    <s v="F"/>
    <x v="0"/>
    <x v="1"/>
    <x v="0"/>
    <x v="2"/>
    <x v="2"/>
    <x v="0"/>
    <x v="2"/>
  </r>
  <r>
    <x v="3"/>
    <x v="3"/>
    <x v="3"/>
    <n v="37.700000000000003"/>
    <n v="263.90000000000003"/>
    <x v="0"/>
    <d v="2025-01-02T00:00:00"/>
    <s v="F"/>
    <x v="0"/>
    <x v="0"/>
    <x v="0"/>
    <x v="2"/>
    <x v="3"/>
    <x v="0"/>
    <x v="2"/>
  </r>
  <r>
    <x v="4"/>
    <x v="4"/>
    <x v="2"/>
    <n v="56.7"/>
    <n v="170.10000000000002"/>
    <x v="0"/>
    <d v="2025-01-04T00:00:00"/>
    <s v="F"/>
    <x v="0"/>
    <x v="2"/>
    <x v="0"/>
    <x v="3"/>
    <x v="2"/>
    <x v="0"/>
    <x v="2"/>
  </r>
  <r>
    <x v="5"/>
    <x v="1"/>
    <x v="4"/>
    <n v="83.5"/>
    <n v="1002"/>
    <x v="0"/>
    <d v="2025-01-04T00:00:00"/>
    <s v="M"/>
    <x v="1"/>
    <x v="0"/>
    <x v="0"/>
    <x v="3"/>
    <x v="2"/>
    <x v="0"/>
    <x v="1"/>
  </r>
  <r>
    <x v="6"/>
    <x v="5"/>
    <x v="0"/>
    <n v="55.3"/>
    <n v="55.3"/>
    <x v="0"/>
    <d v="2025-01-02T00:00:00"/>
    <s v="F"/>
    <x v="0"/>
    <x v="0"/>
    <x v="0"/>
    <x v="3"/>
    <x v="3"/>
    <x v="0"/>
    <x v="2"/>
  </r>
  <r>
    <x v="7"/>
    <x v="6"/>
    <x v="1"/>
    <n v="40.299999999999997"/>
    <n v="80.599999999999994"/>
    <x v="0"/>
    <d v="2025-01-02T00:00:00"/>
    <s v="M"/>
    <x v="2"/>
    <x v="2"/>
    <x v="0"/>
    <x v="3"/>
    <x v="3"/>
    <x v="0"/>
    <x v="1"/>
  </r>
  <r>
    <x v="8"/>
    <x v="7"/>
    <x v="5"/>
    <n v="35.700000000000003"/>
    <n v="392.70000000000005"/>
    <x v="0"/>
    <d v="2025-01-02T00:00:00"/>
    <s v="F"/>
    <x v="0"/>
    <x v="0"/>
    <x v="0"/>
    <x v="3"/>
    <x v="3"/>
    <x v="0"/>
    <x v="2"/>
  </r>
  <r>
    <x v="9"/>
    <x v="8"/>
    <x v="3"/>
    <n v="22.4"/>
    <n v="156.79999999999998"/>
    <x v="0"/>
    <d v="2025-01-04T00:00:00"/>
    <s v="M"/>
    <x v="0"/>
    <x v="1"/>
    <x v="0"/>
    <x v="3"/>
    <x v="2"/>
    <x v="0"/>
    <x v="1"/>
  </r>
  <r>
    <x v="10"/>
    <x v="9"/>
    <x v="1"/>
    <n v="54.4"/>
    <n v="108.8"/>
    <x v="0"/>
    <d v="2025-01-07T00:00:00"/>
    <s v="F"/>
    <x v="0"/>
    <x v="0"/>
    <x v="0"/>
    <x v="3"/>
    <x v="4"/>
    <x v="0"/>
    <x v="2"/>
  </r>
  <r>
    <x v="11"/>
    <x v="9"/>
    <x v="1"/>
    <n v="49"/>
    <n v="98"/>
    <x v="0"/>
    <d v="2025-01-03T00:00:00"/>
    <s v="F"/>
    <x v="2"/>
    <x v="1"/>
    <x v="0"/>
    <x v="3"/>
    <x v="1"/>
    <x v="0"/>
    <x v="2"/>
  </r>
  <r>
    <x v="12"/>
    <x v="5"/>
    <x v="3"/>
    <n v="118.6"/>
    <n v="830.19999999999993"/>
    <x v="0"/>
    <d v="2025-01-05T00:00:00"/>
    <s v="F"/>
    <x v="1"/>
    <x v="0"/>
    <x v="0"/>
    <x v="4"/>
    <x v="5"/>
    <x v="0"/>
    <x v="2"/>
  </r>
  <r>
    <x v="13"/>
    <x v="6"/>
    <x v="6"/>
    <n v="88.4"/>
    <n v="2386.8000000000002"/>
    <x v="0"/>
    <d v="2025-01-08T00:00:00"/>
    <s v="M"/>
    <x v="3"/>
    <x v="0"/>
    <x v="0"/>
    <x v="5"/>
    <x v="6"/>
    <x v="0"/>
    <x v="1"/>
  </r>
  <r>
    <x v="14"/>
    <x v="10"/>
    <x v="0"/>
    <n v="66.7"/>
    <n v="66.7"/>
    <x v="0"/>
    <d v="2025-01-04T00:00:00"/>
    <s v="M"/>
    <x v="0"/>
    <x v="0"/>
    <x v="0"/>
    <x v="6"/>
    <x v="2"/>
    <x v="0"/>
    <x v="1"/>
  </r>
  <r>
    <x v="15"/>
    <x v="9"/>
    <x v="7"/>
    <n v="30.9"/>
    <n v="309"/>
    <x v="0"/>
    <d v="2025-01-02T00:00:00"/>
    <s v="M"/>
    <x v="1"/>
    <x v="2"/>
    <x v="0"/>
    <x v="6"/>
    <x v="3"/>
    <x v="0"/>
    <x v="1"/>
  </r>
  <r>
    <x v="16"/>
    <x v="4"/>
    <x v="2"/>
    <n v="31.1"/>
    <n v="93.300000000000011"/>
    <x v="0"/>
    <d v="2025-01-02T00:00:00"/>
    <s v="F"/>
    <x v="0"/>
    <x v="1"/>
    <x v="0"/>
    <x v="6"/>
    <x v="3"/>
    <x v="0"/>
    <x v="2"/>
  </r>
  <r>
    <x v="17"/>
    <x v="7"/>
    <x v="2"/>
    <n v="36.6"/>
    <n v="109.80000000000001"/>
    <x v="0"/>
    <d v="2025-01-04T00:00:00"/>
    <s v="F"/>
    <x v="0"/>
    <x v="0"/>
    <x v="0"/>
    <x v="7"/>
    <x v="2"/>
    <x v="0"/>
    <x v="2"/>
  </r>
  <r>
    <x v="18"/>
    <x v="6"/>
    <x v="8"/>
    <n v="51.1"/>
    <n v="408.8"/>
    <x v="0"/>
    <d v="2025-01-04T00:00:00"/>
    <s v="F"/>
    <x v="2"/>
    <x v="3"/>
    <x v="0"/>
    <x v="7"/>
    <x v="2"/>
    <x v="0"/>
    <x v="2"/>
  </r>
  <r>
    <x v="19"/>
    <x v="9"/>
    <x v="0"/>
    <n v="25.2"/>
    <n v="25.2"/>
    <x v="0"/>
    <d v="2025-01-02T00:00:00"/>
    <s v="F"/>
    <x v="1"/>
    <x v="2"/>
    <x v="0"/>
    <x v="8"/>
    <x v="3"/>
    <x v="0"/>
    <x v="2"/>
  </r>
  <r>
    <x v="20"/>
    <x v="9"/>
    <x v="9"/>
    <n v="43.8"/>
    <n v="219"/>
    <x v="0"/>
    <d v="2025-01-04T00:00:00"/>
    <s v="F"/>
    <x v="2"/>
    <x v="0"/>
    <x v="0"/>
    <x v="8"/>
    <x v="2"/>
    <x v="0"/>
    <x v="2"/>
  </r>
  <r>
    <x v="21"/>
    <x v="8"/>
    <x v="4"/>
    <n v="46.7"/>
    <n v="560.40000000000009"/>
    <x v="0"/>
    <d v="2025-01-02T00:00:00"/>
    <s v="F"/>
    <x v="1"/>
    <x v="1"/>
    <x v="0"/>
    <x v="8"/>
    <x v="3"/>
    <x v="0"/>
    <x v="2"/>
  </r>
  <r>
    <x v="22"/>
    <x v="3"/>
    <x v="10"/>
    <n v="79.900000000000006"/>
    <n v="1518.1000000000001"/>
    <x v="0"/>
    <d v="2025-01-02T00:00:00"/>
    <s v="M"/>
    <x v="0"/>
    <x v="2"/>
    <x v="0"/>
    <x v="8"/>
    <x v="3"/>
    <x v="0"/>
    <x v="1"/>
  </r>
  <r>
    <x v="23"/>
    <x v="11"/>
    <x v="8"/>
    <n v="26.4"/>
    <n v="211.2"/>
    <x v="0"/>
    <d v="2025-01-02T00:00:00"/>
    <s v="F"/>
    <x v="3"/>
    <x v="0"/>
    <x v="0"/>
    <x v="8"/>
    <x v="3"/>
    <x v="0"/>
    <x v="2"/>
  </r>
  <r>
    <x v="24"/>
    <x v="12"/>
    <x v="8"/>
    <n v="88.8"/>
    <n v="710.4"/>
    <x v="0"/>
    <d v="2025-01-02T00:00:00"/>
    <s v="F"/>
    <x v="4"/>
    <x v="0"/>
    <x v="0"/>
    <x v="8"/>
    <x v="3"/>
    <x v="0"/>
    <x v="2"/>
  </r>
  <r>
    <x v="25"/>
    <x v="0"/>
    <x v="7"/>
    <n v="17.5"/>
    <n v="175"/>
    <x v="0"/>
    <d v="2025-01-02T00:00:00"/>
    <s v="F"/>
    <x v="2"/>
    <x v="0"/>
    <x v="0"/>
    <x v="9"/>
    <x v="3"/>
    <x v="0"/>
    <x v="2"/>
  </r>
  <r>
    <x v="26"/>
    <x v="1"/>
    <x v="11"/>
    <n v="38.700000000000003"/>
    <n v="348.3"/>
    <x v="0"/>
    <d v="2025-01-04T00:00:00"/>
    <s v="M"/>
    <x v="1"/>
    <x v="0"/>
    <x v="0"/>
    <x v="10"/>
    <x v="2"/>
    <x v="0"/>
    <x v="1"/>
  </r>
  <r>
    <x v="27"/>
    <x v="13"/>
    <x v="12"/>
    <n v="57.2"/>
    <n v="228.8"/>
    <x v="0"/>
    <d v="2025-01-03T00:00:00"/>
    <s v=""/>
    <x v="1"/>
    <x v="2"/>
    <x v="0"/>
    <x v="11"/>
    <x v="1"/>
    <x v="0"/>
    <x v="0"/>
  </r>
  <r>
    <x v="28"/>
    <x v="6"/>
    <x v="9"/>
    <n v="50.9"/>
    <n v="254.5"/>
    <x v="0"/>
    <d v="2025-01-07T00:00:00"/>
    <s v=""/>
    <x v="1"/>
    <x v="2"/>
    <x v="0"/>
    <x v="12"/>
    <x v="4"/>
    <x v="0"/>
    <x v="0"/>
  </r>
  <r>
    <x v="29"/>
    <x v="14"/>
    <x v="3"/>
    <n v="41"/>
    <n v="287"/>
    <x v="0"/>
    <d v="2025-01-05T00:00:00"/>
    <s v="F"/>
    <x v="1"/>
    <x v="0"/>
    <x v="0"/>
    <x v="13"/>
    <x v="5"/>
    <x v="0"/>
    <x v="2"/>
  </r>
  <r>
    <x v="30"/>
    <x v="8"/>
    <x v="3"/>
    <n v="19.100000000000001"/>
    <n v="133.70000000000002"/>
    <x v="0"/>
    <d v="2025-01-05T00:00:00"/>
    <s v="M"/>
    <x v="0"/>
    <x v="2"/>
    <x v="0"/>
    <x v="14"/>
    <x v="5"/>
    <x v="0"/>
    <x v="1"/>
  </r>
  <r>
    <x v="31"/>
    <x v="2"/>
    <x v="9"/>
    <n v="166.1"/>
    <n v="830.5"/>
    <x v="0"/>
    <d v="2025-01-04T00:00:00"/>
    <s v="M"/>
    <x v="0"/>
    <x v="0"/>
    <x v="0"/>
    <x v="15"/>
    <x v="2"/>
    <x v="0"/>
    <x v="1"/>
  </r>
  <r>
    <x v="32"/>
    <x v="4"/>
    <x v="2"/>
    <n v="29.9"/>
    <n v="89.699999999999989"/>
    <x v="0"/>
    <d v="2025-01-02T00:00:00"/>
    <s v="M"/>
    <x v="3"/>
    <x v="0"/>
    <x v="0"/>
    <x v="3"/>
    <x v="3"/>
    <x v="0"/>
    <x v="1"/>
  </r>
  <r>
    <x v="33"/>
    <x v="10"/>
    <x v="13"/>
    <n v="21.7"/>
    <n v="130.19999999999999"/>
    <x v="0"/>
    <d v="2025-01-03T00:00:00"/>
    <s v="O"/>
    <x v="2"/>
    <x v="2"/>
    <x v="0"/>
    <x v="3"/>
    <x v="1"/>
    <x v="0"/>
    <x v="3"/>
  </r>
  <r>
    <x v="34"/>
    <x v="11"/>
    <x v="1"/>
    <n v="32"/>
    <n v="64"/>
    <x v="0"/>
    <d v="2025-01-04T00:00:00"/>
    <s v="M"/>
    <x v="0"/>
    <x v="2"/>
    <x v="0"/>
    <x v="3"/>
    <x v="2"/>
    <x v="0"/>
    <x v="1"/>
  </r>
  <r>
    <x v="35"/>
    <x v="8"/>
    <x v="1"/>
    <n v="15.8"/>
    <n v="31.6"/>
    <x v="0"/>
    <d v="2025-01-02T00:00:00"/>
    <s v="M"/>
    <x v="4"/>
    <x v="2"/>
    <x v="0"/>
    <x v="3"/>
    <x v="3"/>
    <x v="0"/>
    <x v="1"/>
  </r>
  <r>
    <x v="36"/>
    <x v="2"/>
    <x v="14"/>
    <n v="203.1"/>
    <n v="3452.7"/>
    <x v="0"/>
    <d v="2025-01-05T00:00:00"/>
    <s v="M"/>
    <x v="3"/>
    <x v="1"/>
    <x v="0"/>
    <x v="3"/>
    <x v="5"/>
    <x v="0"/>
    <x v="1"/>
  </r>
  <r>
    <x v="37"/>
    <x v="7"/>
    <x v="15"/>
    <n v="39"/>
    <n v="507"/>
    <x v="0"/>
    <d v="2025-01-07T00:00:00"/>
    <s v="M"/>
    <x v="0"/>
    <x v="2"/>
    <x v="0"/>
    <x v="3"/>
    <x v="4"/>
    <x v="0"/>
    <x v="1"/>
  </r>
  <r>
    <x v="38"/>
    <x v="10"/>
    <x v="0"/>
    <n v="26.5"/>
    <n v="26.5"/>
    <x v="1"/>
    <d v="2025-01-03T00:00:00"/>
    <s v="M"/>
    <x v="2"/>
    <x v="0"/>
    <x v="0"/>
    <x v="3"/>
    <x v="3"/>
    <x v="0"/>
    <x v="1"/>
  </r>
  <r>
    <x v="39"/>
    <x v="5"/>
    <x v="0"/>
    <n v="43.1"/>
    <n v="43.1"/>
    <x v="1"/>
    <d v="2025-01-03T00:00:00"/>
    <s v="F"/>
    <x v="2"/>
    <x v="1"/>
    <x v="0"/>
    <x v="3"/>
    <x v="3"/>
    <x v="0"/>
    <x v="2"/>
  </r>
  <r>
    <x v="40"/>
    <x v="1"/>
    <x v="2"/>
    <n v="139"/>
    <n v="417"/>
    <x v="1"/>
    <d v="2025-01-03T00:00:00"/>
    <s v="F"/>
    <x v="4"/>
    <x v="2"/>
    <x v="0"/>
    <x v="3"/>
    <x v="3"/>
    <x v="0"/>
    <x v="2"/>
  </r>
  <r>
    <x v="41"/>
    <x v="12"/>
    <x v="0"/>
    <n v="80.7"/>
    <n v="80.7"/>
    <x v="1"/>
    <d v="2025-01-03T00:00:00"/>
    <s v="M"/>
    <x v="0"/>
    <x v="2"/>
    <x v="0"/>
    <x v="16"/>
    <x v="3"/>
    <x v="0"/>
    <x v="1"/>
  </r>
  <r>
    <x v="42"/>
    <x v="4"/>
    <x v="1"/>
    <n v="54.5"/>
    <n v="109"/>
    <x v="1"/>
    <d v="2025-01-04T00:00:00"/>
    <s v="M"/>
    <x v="1"/>
    <x v="1"/>
    <x v="0"/>
    <x v="6"/>
    <x v="1"/>
    <x v="0"/>
    <x v="1"/>
  </r>
  <r>
    <x v="43"/>
    <x v="6"/>
    <x v="2"/>
    <n v="68.599999999999994"/>
    <n v="205.79999999999998"/>
    <x v="1"/>
    <d v="2025-01-02T00:00:00"/>
    <s v="F"/>
    <x v="0"/>
    <x v="1"/>
    <x v="0"/>
    <x v="8"/>
    <x v="7"/>
    <x v="0"/>
    <x v="2"/>
  </r>
  <r>
    <x v="44"/>
    <x v="2"/>
    <x v="12"/>
    <n v="135.9"/>
    <n v="543.6"/>
    <x v="1"/>
    <d v="2025-01-03T00:00:00"/>
    <s v="F"/>
    <x v="2"/>
    <x v="2"/>
    <x v="0"/>
    <x v="8"/>
    <x v="3"/>
    <x v="0"/>
    <x v="2"/>
  </r>
  <r>
    <x v="45"/>
    <x v="2"/>
    <x v="12"/>
    <n v="70.900000000000006"/>
    <n v="283.60000000000002"/>
    <x v="1"/>
    <d v="2025-01-03T00:00:00"/>
    <s v="F"/>
    <x v="0"/>
    <x v="0"/>
    <x v="0"/>
    <x v="17"/>
    <x v="3"/>
    <x v="0"/>
    <x v="2"/>
  </r>
  <r>
    <x v="46"/>
    <x v="1"/>
    <x v="9"/>
    <n v="63.7"/>
    <n v="318.5"/>
    <x v="1"/>
    <d v="2025-01-03T00:00:00"/>
    <s v="M"/>
    <x v="1"/>
    <x v="1"/>
    <x v="0"/>
    <x v="9"/>
    <x v="3"/>
    <x v="0"/>
    <x v="1"/>
  </r>
  <r>
    <x v="47"/>
    <x v="13"/>
    <x v="0"/>
    <n v="29.7"/>
    <n v="29.7"/>
    <x v="1"/>
    <d v="2025-01-04T00:00:00"/>
    <s v="F"/>
    <x v="1"/>
    <x v="0"/>
    <x v="0"/>
    <x v="11"/>
    <x v="1"/>
    <x v="0"/>
    <x v="2"/>
  </r>
  <r>
    <x v="48"/>
    <x v="4"/>
    <x v="2"/>
    <n v="26.8"/>
    <n v="80.400000000000006"/>
    <x v="1"/>
    <d v="2025-01-11T00:00:00"/>
    <s v="F"/>
    <x v="1"/>
    <x v="2"/>
    <x v="0"/>
    <x v="11"/>
    <x v="8"/>
    <x v="0"/>
    <x v="2"/>
  </r>
  <r>
    <x v="49"/>
    <x v="14"/>
    <x v="0"/>
    <n v="27"/>
    <n v="27"/>
    <x v="1"/>
    <d v="2025-01-04T00:00:00"/>
    <s v="F"/>
    <x v="0"/>
    <x v="0"/>
    <x v="0"/>
    <x v="18"/>
    <x v="1"/>
    <x v="0"/>
    <x v="2"/>
  </r>
  <r>
    <x v="50"/>
    <x v="8"/>
    <x v="0"/>
    <n v="41.4"/>
    <n v="41.4"/>
    <x v="1"/>
    <d v="2025-01-03T00:00:00"/>
    <s v="M"/>
    <x v="1"/>
    <x v="2"/>
    <x v="0"/>
    <x v="19"/>
    <x v="3"/>
    <x v="0"/>
    <x v="1"/>
  </r>
  <r>
    <x v="51"/>
    <x v="8"/>
    <x v="1"/>
    <n v="24.3"/>
    <n v="48.6"/>
    <x v="1"/>
    <d v="2025-01-05T00:00:00"/>
    <s v="F"/>
    <x v="1"/>
    <x v="0"/>
    <x v="0"/>
    <x v="19"/>
    <x v="2"/>
    <x v="0"/>
    <x v="2"/>
  </r>
  <r>
    <x v="52"/>
    <x v="8"/>
    <x v="2"/>
    <n v="41.7"/>
    <n v="125.10000000000001"/>
    <x v="1"/>
    <d v="2025-01-04T00:00:00"/>
    <s v="M"/>
    <x v="0"/>
    <x v="2"/>
    <x v="0"/>
    <x v="20"/>
    <x v="1"/>
    <x v="0"/>
    <x v="1"/>
  </r>
  <r>
    <x v="53"/>
    <x v="0"/>
    <x v="1"/>
    <n v="18"/>
    <n v="36"/>
    <x v="1"/>
    <d v="2025-01-03T00:00:00"/>
    <s v="F"/>
    <x v="0"/>
    <x v="2"/>
    <x v="0"/>
    <x v="21"/>
    <x v="3"/>
    <x v="0"/>
    <x v="2"/>
  </r>
  <r>
    <x v="54"/>
    <x v="7"/>
    <x v="2"/>
    <n v="91.3"/>
    <n v="273.89999999999998"/>
    <x v="1"/>
    <d v="2025-01-05T00:00:00"/>
    <s v="M"/>
    <x v="2"/>
    <x v="2"/>
    <x v="0"/>
    <x v="3"/>
    <x v="2"/>
    <x v="0"/>
    <x v="1"/>
  </r>
  <r>
    <x v="55"/>
    <x v="8"/>
    <x v="8"/>
    <n v="19.3"/>
    <n v="154.4"/>
    <x v="1"/>
    <d v="2025-01-03T00:00:00"/>
    <s v="M"/>
    <x v="0"/>
    <x v="0"/>
    <x v="0"/>
    <x v="3"/>
    <x v="3"/>
    <x v="0"/>
    <x v="1"/>
  </r>
  <r>
    <x v="56"/>
    <x v="12"/>
    <x v="15"/>
    <n v="63.2"/>
    <n v="821.6"/>
    <x v="1"/>
    <d v="2025-01-03T00:00:00"/>
    <s v="F"/>
    <x v="0"/>
    <x v="0"/>
    <x v="0"/>
    <x v="3"/>
    <x v="3"/>
    <x v="0"/>
    <x v="2"/>
  </r>
  <r>
    <x v="57"/>
    <x v="10"/>
    <x v="11"/>
    <n v="33.299999999999997"/>
    <n v="299.7"/>
    <x v="2"/>
    <d v="2025-01-11T00:00:00"/>
    <s v="F"/>
    <x v="0"/>
    <x v="2"/>
    <x v="0"/>
    <x v="3"/>
    <x v="9"/>
    <x v="0"/>
    <x v="2"/>
  </r>
  <r>
    <x v="58"/>
    <x v="7"/>
    <x v="1"/>
    <n v="64.2"/>
    <n v="128.4"/>
    <x v="2"/>
    <d v="2025-01-04T00:00:00"/>
    <s v="M"/>
    <x v="0"/>
    <x v="2"/>
    <x v="0"/>
    <x v="3"/>
    <x v="3"/>
    <x v="0"/>
    <x v="1"/>
  </r>
  <r>
    <x v="59"/>
    <x v="9"/>
    <x v="2"/>
    <n v="23.1"/>
    <n v="69.300000000000011"/>
    <x v="2"/>
    <d v="2025-01-06T00:00:00"/>
    <s v="F"/>
    <x v="1"/>
    <x v="2"/>
    <x v="0"/>
    <x v="3"/>
    <x v="2"/>
    <x v="0"/>
    <x v="2"/>
  </r>
  <r>
    <x v="60"/>
    <x v="15"/>
    <x v="1"/>
    <n v="71.099999999999994"/>
    <n v="142.19999999999999"/>
    <x v="2"/>
    <d v="2025-01-05T00:00:00"/>
    <s v="F"/>
    <x v="3"/>
    <x v="1"/>
    <x v="0"/>
    <x v="3"/>
    <x v="1"/>
    <x v="0"/>
    <x v="2"/>
  </r>
  <r>
    <x v="61"/>
    <x v="0"/>
    <x v="1"/>
    <n v="11.5"/>
    <n v="23"/>
    <x v="2"/>
    <d v="2025-01-04T00:00:00"/>
    <s v="F"/>
    <x v="0"/>
    <x v="0"/>
    <x v="0"/>
    <x v="3"/>
    <x v="3"/>
    <x v="0"/>
    <x v="2"/>
  </r>
  <r>
    <x v="62"/>
    <x v="15"/>
    <x v="10"/>
    <n v="69.2"/>
    <n v="1314.8"/>
    <x v="2"/>
    <d v="2025-01-08T00:00:00"/>
    <s v="F"/>
    <x v="0"/>
    <x v="0"/>
    <x v="0"/>
    <x v="3"/>
    <x v="0"/>
    <x v="0"/>
    <x v="2"/>
  </r>
  <r>
    <x v="63"/>
    <x v="0"/>
    <x v="0"/>
    <n v="26.8"/>
    <n v="26.8"/>
    <x v="2"/>
    <d v="2025-01-04T00:00:00"/>
    <s v="M"/>
    <x v="2"/>
    <x v="4"/>
    <x v="0"/>
    <x v="3"/>
    <x v="3"/>
    <x v="0"/>
    <x v="1"/>
  </r>
  <r>
    <x v="64"/>
    <x v="16"/>
    <x v="2"/>
    <n v="31.2"/>
    <n v="93.6"/>
    <x v="2"/>
    <d v="2025-01-06T00:00:00"/>
    <s v="F"/>
    <x v="0"/>
    <x v="0"/>
    <x v="0"/>
    <x v="3"/>
    <x v="2"/>
    <x v="0"/>
    <x v="2"/>
  </r>
  <r>
    <x v="65"/>
    <x v="12"/>
    <x v="1"/>
    <n v="113.2"/>
    <n v="226.4"/>
    <x v="2"/>
    <d v="2025-01-04T00:00:00"/>
    <s v="F"/>
    <x v="4"/>
    <x v="0"/>
    <x v="0"/>
    <x v="3"/>
    <x v="3"/>
    <x v="0"/>
    <x v="2"/>
  </r>
  <r>
    <x v="66"/>
    <x v="10"/>
    <x v="8"/>
    <n v="21"/>
    <n v="168"/>
    <x v="2"/>
    <d v="2025-01-04T00:00:00"/>
    <s v="M"/>
    <x v="0"/>
    <x v="0"/>
    <x v="0"/>
    <x v="6"/>
    <x v="3"/>
    <x v="0"/>
    <x v="1"/>
  </r>
  <r>
    <x v="67"/>
    <x v="1"/>
    <x v="1"/>
    <n v="89.1"/>
    <n v="178.2"/>
    <x v="2"/>
    <d v="2025-01-04T00:00:00"/>
    <s v="F"/>
    <x v="2"/>
    <x v="2"/>
    <x v="0"/>
    <x v="6"/>
    <x v="3"/>
    <x v="0"/>
    <x v="2"/>
  </r>
  <r>
    <x v="68"/>
    <x v="1"/>
    <x v="0"/>
    <n v="97.7"/>
    <n v="97.7"/>
    <x v="2"/>
    <d v="2025-01-05T00:00:00"/>
    <s v="F"/>
    <x v="0"/>
    <x v="1"/>
    <x v="0"/>
    <x v="6"/>
    <x v="1"/>
    <x v="0"/>
    <x v="2"/>
  </r>
  <r>
    <x v="69"/>
    <x v="15"/>
    <x v="12"/>
    <n v="97.7"/>
    <n v="390.8"/>
    <x v="2"/>
    <d v="2025-01-05T00:00:00"/>
    <s v="M"/>
    <x v="3"/>
    <x v="0"/>
    <x v="0"/>
    <x v="6"/>
    <x v="1"/>
    <x v="0"/>
    <x v="1"/>
  </r>
  <r>
    <x v="70"/>
    <x v="17"/>
    <x v="2"/>
    <n v="47.4"/>
    <n v="142.19999999999999"/>
    <x v="2"/>
    <d v="2025-01-06T00:00:00"/>
    <s v="M"/>
    <x v="3"/>
    <x v="2"/>
    <x v="0"/>
    <x v="8"/>
    <x v="2"/>
    <x v="0"/>
    <x v="1"/>
  </r>
  <r>
    <x v="71"/>
    <x v="7"/>
    <x v="0"/>
    <n v="89.6"/>
    <n v="89.6"/>
    <x v="2"/>
    <d v="2025-01-06T00:00:00"/>
    <s v="F"/>
    <x v="0"/>
    <x v="2"/>
    <x v="0"/>
    <x v="8"/>
    <x v="2"/>
    <x v="0"/>
    <x v="2"/>
  </r>
  <r>
    <x v="72"/>
    <x v="10"/>
    <x v="16"/>
    <n v="28.4"/>
    <n v="511.2"/>
    <x v="2"/>
    <d v="2025-01-06T00:00:00"/>
    <s v="F"/>
    <x v="3"/>
    <x v="2"/>
    <x v="0"/>
    <x v="17"/>
    <x v="2"/>
    <x v="0"/>
    <x v="2"/>
  </r>
  <r>
    <x v="73"/>
    <x v="0"/>
    <x v="1"/>
    <n v="17.899999999999999"/>
    <n v="35.799999999999997"/>
    <x v="2"/>
    <d v="2025-01-04T00:00:00"/>
    <s v="F"/>
    <x v="0"/>
    <x v="2"/>
    <x v="0"/>
    <x v="9"/>
    <x v="3"/>
    <x v="0"/>
    <x v="2"/>
  </r>
  <r>
    <x v="74"/>
    <x v="9"/>
    <x v="1"/>
    <n v="48.4"/>
    <n v="96.8"/>
    <x v="2"/>
    <d v="2025-01-06T00:00:00"/>
    <s v="M"/>
    <x v="1"/>
    <x v="0"/>
    <x v="0"/>
    <x v="9"/>
    <x v="2"/>
    <x v="0"/>
    <x v="1"/>
  </r>
  <r>
    <x v="75"/>
    <x v="12"/>
    <x v="12"/>
    <n v="44.4"/>
    <n v="177.6"/>
    <x v="2"/>
    <d v="2025-01-04T00:00:00"/>
    <s v="O"/>
    <x v="1"/>
    <x v="1"/>
    <x v="0"/>
    <x v="11"/>
    <x v="3"/>
    <x v="0"/>
    <x v="3"/>
  </r>
  <r>
    <x v="76"/>
    <x v="2"/>
    <x v="8"/>
    <n v="103.7"/>
    <n v="829.6"/>
    <x v="2"/>
    <d v="2025-01-04T00:00:00"/>
    <s v="F"/>
    <x v="0"/>
    <x v="1"/>
    <x v="0"/>
    <x v="19"/>
    <x v="3"/>
    <x v="0"/>
    <x v="2"/>
  </r>
  <r>
    <x v="77"/>
    <x v="5"/>
    <x v="12"/>
    <n v="58.6"/>
    <n v="234.4"/>
    <x v="2"/>
    <d v="2025-01-05T00:00:00"/>
    <s v="M"/>
    <x v="3"/>
    <x v="0"/>
    <x v="0"/>
    <x v="19"/>
    <x v="1"/>
    <x v="0"/>
    <x v="1"/>
  </r>
  <r>
    <x v="78"/>
    <x v="9"/>
    <x v="12"/>
    <n v="54.8"/>
    <n v="219.2"/>
    <x v="2"/>
    <d v="2025-01-07T00:00:00"/>
    <s v="F"/>
    <x v="2"/>
    <x v="1"/>
    <x v="0"/>
    <x v="13"/>
    <x v="5"/>
    <x v="0"/>
    <x v="2"/>
  </r>
  <r>
    <x v="79"/>
    <x v="12"/>
    <x v="2"/>
    <n v="78.8"/>
    <n v="236.39999999999998"/>
    <x v="2"/>
    <d v="2025-01-09T00:00:00"/>
    <s v="F"/>
    <x v="4"/>
    <x v="1"/>
    <x v="0"/>
    <x v="21"/>
    <x v="4"/>
    <x v="0"/>
    <x v="2"/>
  </r>
  <r>
    <x v="80"/>
    <x v="18"/>
    <x v="9"/>
    <n v="36.799999999999997"/>
    <n v="184"/>
    <x v="2"/>
    <d v="2025-01-06T00:00:00"/>
    <s v="M"/>
    <x v="4"/>
    <x v="1"/>
    <x v="0"/>
    <x v="22"/>
    <x v="2"/>
    <x v="0"/>
    <x v="1"/>
  </r>
  <r>
    <x v="81"/>
    <x v="6"/>
    <x v="13"/>
    <n v="50.6"/>
    <n v="303.60000000000002"/>
    <x v="2"/>
    <d v="2025-01-05T00:00:00"/>
    <s v="F"/>
    <x v="3"/>
    <x v="0"/>
    <x v="0"/>
    <x v="3"/>
    <x v="1"/>
    <x v="0"/>
    <x v="2"/>
  </r>
  <r>
    <x v="82"/>
    <x v="15"/>
    <x v="2"/>
    <n v="36.799999999999997"/>
    <n v="110.39999999999999"/>
    <x v="2"/>
    <d v="2025-01-03T00:00:00"/>
    <s v="M"/>
    <x v="2"/>
    <x v="1"/>
    <x v="0"/>
    <x v="3"/>
    <x v="7"/>
    <x v="0"/>
    <x v="1"/>
  </r>
  <r>
    <x v="83"/>
    <x v="8"/>
    <x v="11"/>
    <n v="41.8"/>
    <n v="376.2"/>
    <x v="3"/>
    <d v="2025-01-10T00:00:00"/>
    <s v="F"/>
    <x v="3"/>
    <x v="0"/>
    <x v="0"/>
    <x v="3"/>
    <x v="4"/>
    <x v="0"/>
    <x v="2"/>
  </r>
  <r>
    <x v="84"/>
    <x v="18"/>
    <x v="0"/>
    <n v="77.3"/>
    <n v="77.3"/>
    <x v="3"/>
    <d v="2025-01-05T00:00:00"/>
    <s v="M"/>
    <x v="4"/>
    <x v="4"/>
    <x v="0"/>
    <x v="3"/>
    <x v="3"/>
    <x v="0"/>
    <x v="1"/>
  </r>
  <r>
    <x v="85"/>
    <x v="8"/>
    <x v="12"/>
    <n v="19.8"/>
    <n v="79.2"/>
    <x v="3"/>
    <d v="2025-01-10T00:00:00"/>
    <s v="M"/>
    <x v="1"/>
    <x v="2"/>
    <x v="0"/>
    <x v="3"/>
    <x v="4"/>
    <x v="0"/>
    <x v="1"/>
  </r>
  <r>
    <x v="86"/>
    <x v="13"/>
    <x v="12"/>
    <n v="15.5"/>
    <n v="62"/>
    <x v="3"/>
    <d v="2025-01-05T00:00:00"/>
    <s v="F"/>
    <x v="1"/>
    <x v="2"/>
    <x v="0"/>
    <x v="3"/>
    <x v="3"/>
    <x v="0"/>
    <x v="2"/>
  </r>
  <r>
    <x v="87"/>
    <x v="12"/>
    <x v="0"/>
    <n v="46.8"/>
    <n v="46.8"/>
    <x v="3"/>
    <d v="2025-01-08T00:00:00"/>
    <s v="M"/>
    <x v="0"/>
    <x v="2"/>
    <x v="0"/>
    <x v="3"/>
    <x v="5"/>
    <x v="0"/>
    <x v="1"/>
  </r>
  <r>
    <x v="88"/>
    <x v="9"/>
    <x v="11"/>
    <n v="28.6"/>
    <n v="257.40000000000003"/>
    <x v="3"/>
    <d v="2025-01-08T00:00:00"/>
    <s v="M"/>
    <x v="0"/>
    <x v="2"/>
    <x v="0"/>
    <x v="3"/>
    <x v="5"/>
    <x v="0"/>
    <x v="1"/>
  </r>
  <r>
    <x v="89"/>
    <x v="2"/>
    <x v="0"/>
    <n v="97.7"/>
    <n v="97.7"/>
    <x v="3"/>
    <d v="2025-01-07T00:00:00"/>
    <s v="F"/>
    <x v="1"/>
    <x v="0"/>
    <x v="0"/>
    <x v="3"/>
    <x v="2"/>
    <x v="0"/>
    <x v="2"/>
  </r>
  <r>
    <x v="90"/>
    <x v="9"/>
    <x v="9"/>
    <n v="54.7"/>
    <n v="273.5"/>
    <x v="3"/>
    <d v="2025-01-07T00:00:00"/>
    <s v=""/>
    <x v="0"/>
    <x v="2"/>
    <x v="0"/>
    <x v="23"/>
    <x v="2"/>
    <x v="0"/>
    <x v="0"/>
  </r>
  <r>
    <x v="91"/>
    <x v="2"/>
    <x v="13"/>
    <n v="130.5"/>
    <n v="783"/>
    <x v="3"/>
    <d v="2025-01-06T00:00:00"/>
    <s v="F"/>
    <x v="0"/>
    <x v="1"/>
    <x v="0"/>
    <x v="23"/>
    <x v="1"/>
    <x v="0"/>
    <x v="2"/>
  </r>
  <r>
    <x v="92"/>
    <x v="11"/>
    <x v="1"/>
    <n v="50.4"/>
    <n v="100.8"/>
    <x v="3"/>
    <d v="2025-01-06T00:00:00"/>
    <s v="M"/>
    <x v="2"/>
    <x v="2"/>
    <x v="0"/>
    <x v="6"/>
    <x v="1"/>
    <x v="0"/>
    <x v="1"/>
  </r>
  <r>
    <x v="93"/>
    <x v="6"/>
    <x v="15"/>
    <n v="61.5"/>
    <n v="799.5"/>
    <x v="3"/>
    <d v="2025-01-05T00:00:00"/>
    <s v=""/>
    <x v="3"/>
    <x v="1"/>
    <x v="0"/>
    <x v="11"/>
    <x v="3"/>
    <x v="0"/>
    <x v="0"/>
  </r>
  <r>
    <x v="94"/>
    <x v="9"/>
    <x v="12"/>
    <n v="30.1"/>
    <n v="120.4"/>
    <x v="3"/>
    <d v="2025-01-05T00:00:00"/>
    <s v="F"/>
    <x v="0"/>
    <x v="2"/>
    <x v="0"/>
    <x v="21"/>
    <x v="3"/>
    <x v="0"/>
    <x v="2"/>
  </r>
  <r>
    <x v="95"/>
    <x v="2"/>
    <x v="9"/>
    <n v="74.8"/>
    <n v="374"/>
    <x v="3"/>
    <d v="2025-01-05T00:00:00"/>
    <s v="F"/>
    <x v="1"/>
    <x v="0"/>
    <x v="0"/>
    <x v="1"/>
    <x v="3"/>
    <x v="0"/>
    <x v="2"/>
  </r>
  <r>
    <x v="96"/>
    <x v="16"/>
    <x v="2"/>
    <n v="64.900000000000006"/>
    <n v="194.70000000000002"/>
    <x v="3"/>
    <d v="2025-01-11T00:00:00"/>
    <s v="M"/>
    <x v="0"/>
    <x v="0"/>
    <x v="0"/>
    <x v="2"/>
    <x v="6"/>
    <x v="0"/>
    <x v="1"/>
  </r>
  <r>
    <x v="97"/>
    <x v="9"/>
    <x v="1"/>
    <n v="50.5"/>
    <n v="101"/>
    <x v="3"/>
    <d v="2025-01-06T00:00:00"/>
    <s v="M"/>
    <x v="1"/>
    <x v="0"/>
    <x v="0"/>
    <x v="22"/>
    <x v="1"/>
    <x v="0"/>
    <x v="1"/>
  </r>
  <r>
    <x v="98"/>
    <x v="11"/>
    <x v="3"/>
    <n v="63"/>
    <n v="441"/>
    <x v="3"/>
    <d v="2025-01-07T00:00:00"/>
    <s v="M"/>
    <x v="3"/>
    <x v="2"/>
    <x v="0"/>
    <x v="3"/>
    <x v="2"/>
    <x v="0"/>
    <x v="1"/>
  </r>
  <r>
    <x v="99"/>
    <x v="2"/>
    <x v="2"/>
    <n v="93.6"/>
    <n v="280.79999999999995"/>
    <x v="3"/>
    <d v="2025-01-17T00:00:00"/>
    <s v="F"/>
    <x v="0"/>
    <x v="2"/>
    <x v="0"/>
    <x v="3"/>
    <x v="10"/>
    <x v="0"/>
    <x v="2"/>
  </r>
  <r>
    <x v="100"/>
    <x v="5"/>
    <x v="17"/>
    <n v="41.4"/>
    <n v="1242"/>
    <x v="3"/>
    <d v="2025-01-08T00:00:00"/>
    <s v="M"/>
    <x v="2"/>
    <x v="2"/>
    <x v="0"/>
    <x v="3"/>
    <x v="5"/>
    <x v="0"/>
    <x v="1"/>
  </r>
  <r>
    <x v="101"/>
    <x v="2"/>
    <x v="1"/>
    <n v="160"/>
    <n v="320"/>
    <x v="4"/>
    <d v="2025-01-06T00:00:00"/>
    <s v="M"/>
    <x v="2"/>
    <x v="2"/>
    <x v="0"/>
    <x v="5"/>
    <x v="3"/>
    <x v="1"/>
    <x v="1"/>
  </r>
  <r>
    <x v="102"/>
    <x v="19"/>
    <x v="5"/>
    <n v="10.5"/>
    <n v="115.5"/>
    <x v="4"/>
    <d v="2025-01-08T00:00:00"/>
    <s v="F"/>
    <x v="4"/>
    <x v="0"/>
    <x v="0"/>
    <x v="8"/>
    <x v="2"/>
    <x v="1"/>
    <x v="2"/>
  </r>
  <r>
    <x v="103"/>
    <x v="10"/>
    <x v="1"/>
    <n v="53"/>
    <n v="106"/>
    <x v="4"/>
    <d v="2025-01-05T00:00:00"/>
    <s v="M"/>
    <x v="2"/>
    <x v="4"/>
    <x v="0"/>
    <x v="17"/>
    <x v="7"/>
    <x v="1"/>
    <x v="1"/>
  </r>
  <r>
    <x v="104"/>
    <x v="8"/>
    <x v="2"/>
    <n v="18.5"/>
    <n v="55.5"/>
    <x v="4"/>
    <d v="2025-01-10T00:00:00"/>
    <s v="F"/>
    <x v="1"/>
    <x v="2"/>
    <x v="0"/>
    <x v="11"/>
    <x v="0"/>
    <x v="1"/>
    <x v="2"/>
  </r>
  <r>
    <x v="105"/>
    <x v="16"/>
    <x v="2"/>
    <n v="84.5"/>
    <n v="253.5"/>
    <x v="4"/>
    <d v="2025-01-07T00:00:00"/>
    <s v="F"/>
    <x v="4"/>
    <x v="1"/>
    <x v="0"/>
    <x v="13"/>
    <x v="1"/>
    <x v="1"/>
    <x v="2"/>
  </r>
  <r>
    <x v="106"/>
    <x v="15"/>
    <x v="3"/>
    <n v="31.2"/>
    <n v="218.4"/>
    <x v="4"/>
    <d v="2025-01-05T00:00:00"/>
    <s v="F"/>
    <x v="2"/>
    <x v="2"/>
    <x v="0"/>
    <x v="3"/>
    <x v="7"/>
    <x v="1"/>
    <x v="2"/>
  </r>
  <r>
    <x v="107"/>
    <x v="8"/>
    <x v="16"/>
    <n v="32.6"/>
    <n v="586.80000000000007"/>
    <x v="4"/>
    <d v="2025-01-06T00:00:00"/>
    <s v="M"/>
    <x v="1"/>
    <x v="1"/>
    <x v="0"/>
    <x v="3"/>
    <x v="3"/>
    <x v="1"/>
    <x v="1"/>
  </r>
  <r>
    <x v="108"/>
    <x v="10"/>
    <x v="12"/>
    <n v="45.4"/>
    <n v="181.6"/>
    <x v="4"/>
    <d v="2025-01-07T00:00:00"/>
    <s v="M"/>
    <x v="1"/>
    <x v="0"/>
    <x v="0"/>
    <x v="3"/>
    <x v="1"/>
    <x v="1"/>
    <x v="1"/>
  </r>
  <r>
    <x v="109"/>
    <x v="2"/>
    <x v="4"/>
    <n v="120"/>
    <n v="1440"/>
    <x v="4"/>
    <d v="2025-01-06T00:00:00"/>
    <s v="F"/>
    <x v="2"/>
    <x v="4"/>
    <x v="0"/>
    <x v="3"/>
    <x v="3"/>
    <x v="1"/>
    <x v="2"/>
  </r>
  <r>
    <x v="110"/>
    <x v="0"/>
    <x v="12"/>
    <n v="18.899999999999999"/>
    <n v="75.599999999999994"/>
    <x v="4"/>
    <d v="2025-01-07T00:00:00"/>
    <s v="M"/>
    <x v="0"/>
    <x v="2"/>
    <x v="0"/>
    <x v="3"/>
    <x v="1"/>
    <x v="1"/>
    <x v="1"/>
  </r>
  <r>
    <x v="111"/>
    <x v="4"/>
    <x v="0"/>
    <n v="32"/>
    <n v="32"/>
    <x v="4"/>
    <d v="2025-01-07T00:00:00"/>
    <s v="F"/>
    <x v="4"/>
    <x v="0"/>
    <x v="0"/>
    <x v="3"/>
    <x v="1"/>
    <x v="1"/>
    <x v="2"/>
  </r>
  <r>
    <x v="112"/>
    <x v="7"/>
    <x v="1"/>
    <n v="37.299999999999997"/>
    <n v="74.599999999999994"/>
    <x v="4"/>
    <d v="2025-01-06T00:00:00"/>
    <s v="M"/>
    <x v="2"/>
    <x v="0"/>
    <x v="0"/>
    <x v="3"/>
    <x v="3"/>
    <x v="1"/>
    <x v="1"/>
  </r>
  <r>
    <x v="113"/>
    <x v="18"/>
    <x v="0"/>
    <n v="119.8"/>
    <n v="119.8"/>
    <x v="4"/>
    <d v="2025-01-06T00:00:00"/>
    <s v="M"/>
    <x v="1"/>
    <x v="1"/>
    <x v="0"/>
    <x v="3"/>
    <x v="3"/>
    <x v="1"/>
    <x v="1"/>
  </r>
  <r>
    <x v="114"/>
    <x v="10"/>
    <x v="1"/>
    <n v="26.4"/>
    <n v="52.8"/>
    <x v="4"/>
    <d v="2025-01-08T00:00:00"/>
    <s v="M"/>
    <x v="2"/>
    <x v="0"/>
    <x v="0"/>
    <x v="3"/>
    <x v="2"/>
    <x v="1"/>
    <x v="1"/>
  </r>
  <r>
    <x v="115"/>
    <x v="6"/>
    <x v="13"/>
    <n v="76.5"/>
    <n v="459"/>
    <x v="4"/>
    <d v="2025-01-06T00:00:00"/>
    <s v="F"/>
    <x v="1"/>
    <x v="1"/>
    <x v="0"/>
    <x v="3"/>
    <x v="3"/>
    <x v="1"/>
    <x v="2"/>
  </r>
  <r>
    <x v="116"/>
    <x v="4"/>
    <x v="7"/>
    <n v="45.7"/>
    <n v="457"/>
    <x v="4"/>
    <d v="2025-01-06T00:00:00"/>
    <s v="F"/>
    <x v="2"/>
    <x v="0"/>
    <x v="0"/>
    <x v="24"/>
    <x v="3"/>
    <x v="1"/>
    <x v="2"/>
  </r>
  <r>
    <x v="117"/>
    <x v="1"/>
    <x v="4"/>
    <n v="92.6"/>
    <n v="1111.1999999999998"/>
    <x v="4"/>
    <d v="2025-01-07T00:00:00"/>
    <s v="F"/>
    <x v="2"/>
    <x v="0"/>
    <x v="0"/>
    <x v="25"/>
    <x v="1"/>
    <x v="1"/>
    <x v="2"/>
  </r>
  <r>
    <x v="118"/>
    <x v="6"/>
    <x v="13"/>
    <n v="60.1"/>
    <n v="360.6"/>
    <x v="4"/>
    <d v="2025-01-06T00:00:00"/>
    <s v="M"/>
    <x v="1"/>
    <x v="0"/>
    <x v="0"/>
    <x v="23"/>
    <x v="3"/>
    <x v="1"/>
    <x v="1"/>
  </r>
  <r>
    <x v="119"/>
    <x v="1"/>
    <x v="2"/>
    <n v="73"/>
    <n v="219"/>
    <x v="4"/>
    <d v="2025-01-06T00:00:00"/>
    <s v="F"/>
    <x v="3"/>
    <x v="1"/>
    <x v="0"/>
    <x v="6"/>
    <x v="3"/>
    <x v="1"/>
    <x v="2"/>
  </r>
  <r>
    <x v="120"/>
    <x v="6"/>
    <x v="2"/>
    <n v="44.3"/>
    <n v="132.89999999999998"/>
    <x v="4"/>
    <d v="2025-01-09T00:00:00"/>
    <s v=""/>
    <x v="2"/>
    <x v="2"/>
    <x v="0"/>
    <x v="6"/>
    <x v="5"/>
    <x v="1"/>
    <x v="0"/>
  </r>
  <r>
    <x v="121"/>
    <x v="6"/>
    <x v="2"/>
    <n v="63.3"/>
    <n v="189.89999999999998"/>
    <x v="4"/>
    <d v="2025-01-06T00:00:00"/>
    <s v="M"/>
    <x v="2"/>
    <x v="0"/>
    <x v="0"/>
    <x v="6"/>
    <x v="3"/>
    <x v="1"/>
    <x v="1"/>
  </r>
  <r>
    <x v="122"/>
    <x v="12"/>
    <x v="0"/>
    <n v="66.8"/>
    <n v="66.8"/>
    <x v="4"/>
    <d v="2025-01-06T00:00:00"/>
    <s v="F"/>
    <x v="1"/>
    <x v="0"/>
    <x v="0"/>
    <x v="6"/>
    <x v="3"/>
    <x v="1"/>
    <x v="2"/>
  </r>
  <r>
    <x v="123"/>
    <x v="2"/>
    <x v="1"/>
    <n v="59.7"/>
    <n v="119.4"/>
    <x v="4"/>
    <d v="2025-01-06T00:00:00"/>
    <s v="F"/>
    <x v="0"/>
    <x v="0"/>
    <x v="0"/>
    <x v="7"/>
    <x v="3"/>
    <x v="1"/>
    <x v="2"/>
  </r>
  <r>
    <x v="124"/>
    <x v="1"/>
    <x v="13"/>
    <n v="92"/>
    <n v="552"/>
    <x v="4"/>
    <d v="2025-01-07T00:00:00"/>
    <s v="M"/>
    <x v="0"/>
    <x v="4"/>
    <x v="0"/>
    <x v="7"/>
    <x v="1"/>
    <x v="1"/>
    <x v="1"/>
  </r>
  <r>
    <x v="125"/>
    <x v="7"/>
    <x v="1"/>
    <n v="87.6"/>
    <n v="175.2"/>
    <x v="4"/>
    <d v="2025-01-07T00:00:00"/>
    <s v="M"/>
    <x v="1"/>
    <x v="1"/>
    <x v="0"/>
    <x v="8"/>
    <x v="1"/>
    <x v="1"/>
    <x v="1"/>
  </r>
  <r>
    <x v="126"/>
    <x v="6"/>
    <x v="2"/>
    <n v="84.5"/>
    <n v="253.5"/>
    <x v="4"/>
    <d v="2025-01-06T00:00:00"/>
    <s v="F"/>
    <x v="1"/>
    <x v="1"/>
    <x v="0"/>
    <x v="8"/>
    <x v="3"/>
    <x v="1"/>
    <x v="2"/>
  </r>
  <r>
    <x v="127"/>
    <x v="1"/>
    <x v="1"/>
    <n v="116.3"/>
    <n v="232.6"/>
    <x v="5"/>
    <d v="2025-01-08T00:00:00"/>
    <s v="M"/>
    <x v="2"/>
    <x v="2"/>
    <x v="0"/>
    <x v="8"/>
    <x v="1"/>
    <x v="1"/>
    <x v="1"/>
  </r>
  <r>
    <x v="128"/>
    <x v="6"/>
    <x v="9"/>
    <n v="52.7"/>
    <n v="263.5"/>
    <x v="5"/>
    <d v="2025-01-10T00:00:00"/>
    <s v="M"/>
    <x v="0"/>
    <x v="0"/>
    <x v="0"/>
    <x v="8"/>
    <x v="5"/>
    <x v="1"/>
    <x v="1"/>
  </r>
  <r>
    <x v="129"/>
    <x v="16"/>
    <x v="2"/>
    <n v="34.200000000000003"/>
    <n v="102.60000000000001"/>
    <x v="5"/>
    <d v="2025-01-07T00:00:00"/>
    <s v="M"/>
    <x v="0"/>
    <x v="2"/>
    <x v="0"/>
    <x v="26"/>
    <x v="3"/>
    <x v="1"/>
    <x v="1"/>
  </r>
  <r>
    <x v="130"/>
    <x v="9"/>
    <x v="0"/>
    <n v="23.3"/>
    <n v="23.3"/>
    <x v="5"/>
    <d v="2025-01-15T00:00:00"/>
    <s v="O"/>
    <x v="2"/>
    <x v="2"/>
    <x v="0"/>
    <x v="9"/>
    <x v="8"/>
    <x v="1"/>
    <x v="3"/>
  </r>
  <r>
    <x v="131"/>
    <x v="0"/>
    <x v="18"/>
    <n v="25.9"/>
    <n v="673.4"/>
    <x v="5"/>
    <d v="2025-01-09T00:00:00"/>
    <s v="F"/>
    <x v="4"/>
    <x v="1"/>
    <x v="0"/>
    <x v="9"/>
    <x v="2"/>
    <x v="1"/>
    <x v="2"/>
  </r>
  <r>
    <x v="132"/>
    <x v="6"/>
    <x v="19"/>
    <n v="54.9"/>
    <n v="1592.1"/>
    <x v="5"/>
    <d v="2025-01-07T00:00:00"/>
    <s v="M"/>
    <x v="1"/>
    <x v="2"/>
    <x v="0"/>
    <x v="9"/>
    <x v="3"/>
    <x v="1"/>
    <x v="1"/>
  </r>
  <r>
    <x v="133"/>
    <x v="5"/>
    <x v="2"/>
    <n v="75.8"/>
    <n v="227.39999999999998"/>
    <x v="5"/>
    <d v="2025-01-11T00:00:00"/>
    <s v="O"/>
    <x v="1"/>
    <x v="0"/>
    <x v="0"/>
    <x v="18"/>
    <x v="0"/>
    <x v="1"/>
    <x v="3"/>
  </r>
  <r>
    <x v="134"/>
    <x v="1"/>
    <x v="11"/>
    <n v="44.9"/>
    <n v="404.09999999999997"/>
    <x v="5"/>
    <d v="2025-01-09T00:00:00"/>
    <s v="F"/>
    <x v="2"/>
    <x v="2"/>
    <x v="0"/>
    <x v="2"/>
    <x v="2"/>
    <x v="1"/>
    <x v="2"/>
  </r>
  <r>
    <x v="135"/>
    <x v="11"/>
    <x v="1"/>
    <n v="48.8"/>
    <n v="97.6"/>
    <x v="5"/>
    <d v="2025-01-08T00:00:00"/>
    <s v="F"/>
    <x v="3"/>
    <x v="0"/>
    <x v="0"/>
    <x v="27"/>
    <x v="1"/>
    <x v="1"/>
    <x v="2"/>
  </r>
  <r>
    <x v="136"/>
    <x v="15"/>
    <x v="0"/>
    <n v="20.3"/>
    <n v="20.3"/>
    <x v="5"/>
    <d v="2025-01-07T00:00:00"/>
    <s v="F"/>
    <x v="0"/>
    <x v="2"/>
    <x v="0"/>
    <x v="22"/>
    <x v="3"/>
    <x v="1"/>
    <x v="2"/>
  </r>
  <r>
    <x v="137"/>
    <x v="5"/>
    <x v="3"/>
    <n v="36.4"/>
    <n v="254.79999999999998"/>
    <x v="5"/>
    <d v="2025-01-09T00:00:00"/>
    <s v="F"/>
    <x v="0"/>
    <x v="1"/>
    <x v="0"/>
    <x v="3"/>
    <x v="2"/>
    <x v="1"/>
    <x v="2"/>
  </r>
  <r>
    <x v="138"/>
    <x v="0"/>
    <x v="0"/>
    <n v="19"/>
    <n v="19"/>
    <x v="5"/>
    <d v="2025-01-11T00:00:00"/>
    <s v="F"/>
    <x v="1"/>
    <x v="2"/>
    <x v="0"/>
    <x v="3"/>
    <x v="0"/>
    <x v="1"/>
    <x v="2"/>
  </r>
  <r>
    <x v="139"/>
    <x v="8"/>
    <x v="0"/>
    <n v="17.8"/>
    <n v="17.8"/>
    <x v="5"/>
    <d v="2025-01-06T00:00:00"/>
    <s v="M"/>
    <x v="0"/>
    <x v="0"/>
    <x v="0"/>
    <x v="3"/>
    <x v="7"/>
    <x v="1"/>
    <x v="1"/>
  </r>
  <r>
    <x v="140"/>
    <x v="2"/>
    <x v="13"/>
    <n v="139.6"/>
    <n v="837.59999999999991"/>
    <x v="5"/>
    <d v="2025-01-09T00:00:00"/>
    <s v="M"/>
    <x v="0"/>
    <x v="0"/>
    <x v="0"/>
    <x v="3"/>
    <x v="2"/>
    <x v="1"/>
    <x v="1"/>
  </r>
  <r>
    <x v="141"/>
    <x v="9"/>
    <x v="0"/>
    <n v="31.7"/>
    <n v="31.7"/>
    <x v="5"/>
    <d v="2025-01-06T00:00:00"/>
    <s v=""/>
    <x v="0"/>
    <x v="0"/>
    <x v="0"/>
    <x v="3"/>
    <x v="7"/>
    <x v="1"/>
    <x v="0"/>
  </r>
  <r>
    <x v="142"/>
    <x v="8"/>
    <x v="8"/>
    <n v="26.3"/>
    <n v="210.4"/>
    <x v="5"/>
    <d v="2025-01-09T00:00:00"/>
    <s v="F"/>
    <x v="4"/>
    <x v="4"/>
    <x v="0"/>
    <x v="3"/>
    <x v="2"/>
    <x v="1"/>
    <x v="2"/>
  </r>
  <r>
    <x v="143"/>
    <x v="4"/>
    <x v="1"/>
    <n v="47.8"/>
    <n v="95.6"/>
    <x v="5"/>
    <d v="2025-01-07T00:00:00"/>
    <s v=""/>
    <x v="0"/>
    <x v="0"/>
    <x v="0"/>
    <x v="3"/>
    <x v="3"/>
    <x v="1"/>
    <x v="0"/>
  </r>
  <r>
    <x v="144"/>
    <x v="9"/>
    <x v="2"/>
    <n v="69.400000000000006"/>
    <n v="208.20000000000002"/>
    <x v="5"/>
    <d v="2025-01-10T00:00:00"/>
    <s v="F"/>
    <x v="0"/>
    <x v="0"/>
    <x v="0"/>
    <x v="3"/>
    <x v="5"/>
    <x v="1"/>
    <x v="2"/>
  </r>
  <r>
    <x v="145"/>
    <x v="18"/>
    <x v="4"/>
    <n v="25.8"/>
    <n v="309.60000000000002"/>
    <x v="5"/>
    <d v="2025-01-07T00:00:00"/>
    <s v="M"/>
    <x v="4"/>
    <x v="4"/>
    <x v="0"/>
    <x v="3"/>
    <x v="3"/>
    <x v="1"/>
    <x v="1"/>
  </r>
  <r>
    <x v="146"/>
    <x v="0"/>
    <x v="12"/>
    <n v="26.4"/>
    <n v="105.6"/>
    <x v="5"/>
    <d v="2025-01-07T00:00:00"/>
    <s v="M"/>
    <x v="1"/>
    <x v="2"/>
    <x v="0"/>
    <x v="3"/>
    <x v="3"/>
    <x v="1"/>
    <x v="1"/>
  </r>
  <r>
    <x v="147"/>
    <x v="8"/>
    <x v="12"/>
    <n v="15.7"/>
    <n v="62.8"/>
    <x v="5"/>
    <d v="2025-01-07T00:00:00"/>
    <s v="M"/>
    <x v="2"/>
    <x v="0"/>
    <x v="0"/>
    <x v="3"/>
    <x v="3"/>
    <x v="1"/>
    <x v="1"/>
  </r>
  <r>
    <x v="148"/>
    <x v="8"/>
    <x v="0"/>
    <n v="39.700000000000003"/>
    <n v="39.700000000000003"/>
    <x v="5"/>
    <d v="2025-01-10T00:00:00"/>
    <s v="M"/>
    <x v="0"/>
    <x v="0"/>
    <x v="0"/>
    <x v="3"/>
    <x v="5"/>
    <x v="1"/>
    <x v="1"/>
  </r>
  <r>
    <x v="149"/>
    <x v="10"/>
    <x v="12"/>
    <n v="31.1"/>
    <n v="124.4"/>
    <x v="5"/>
    <d v="2025-01-08T00:00:00"/>
    <s v="F"/>
    <x v="2"/>
    <x v="1"/>
    <x v="0"/>
    <x v="3"/>
    <x v="1"/>
    <x v="1"/>
    <x v="2"/>
  </r>
  <r>
    <x v="150"/>
    <x v="13"/>
    <x v="20"/>
    <n v="23.4"/>
    <n v="351"/>
    <x v="5"/>
    <d v="2025-01-15T00:00:00"/>
    <s v="M"/>
    <x v="0"/>
    <x v="0"/>
    <x v="0"/>
    <x v="3"/>
    <x v="8"/>
    <x v="1"/>
    <x v="1"/>
  </r>
  <r>
    <x v="151"/>
    <x v="1"/>
    <x v="12"/>
    <n v="57.1"/>
    <n v="228.4"/>
    <x v="6"/>
    <d v="2025-01-08T00:00:00"/>
    <s v="M"/>
    <x v="2"/>
    <x v="0"/>
    <x v="0"/>
    <x v="25"/>
    <x v="3"/>
    <x v="1"/>
    <x v="1"/>
  </r>
  <r>
    <x v="152"/>
    <x v="2"/>
    <x v="9"/>
    <n v="89.9"/>
    <n v="449.5"/>
    <x v="6"/>
    <d v="2025-01-07T00:00:00"/>
    <s v="F"/>
    <x v="0"/>
    <x v="3"/>
    <x v="0"/>
    <x v="23"/>
    <x v="7"/>
    <x v="1"/>
    <x v="2"/>
  </r>
  <r>
    <x v="153"/>
    <x v="10"/>
    <x v="3"/>
    <n v="48.1"/>
    <n v="336.7"/>
    <x v="6"/>
    <d v="2025-01-09T00:00:00"/>
    <s v="F"/>
    <x v="1"/>
    <x v="2"/>
    <x v="0"/>
    <x v="6"/>
    <x v="1"/>
    <x v="1"/>
    <x v="2"/>
  </r>
  <r>
    <x v="154"/>
    <x v="8"/>
    <x v="1"/>
    <n v="29.3"/>
    <n v="58.6"/>
    <x v="6"/>
    <d v="2025-01-07T00:00:00"/>
    <s v="F"/>
    <x v="1"/>
    <x v="1"/>
    <x v="0"/>
    <x v="6"/>
    <x v="7"/>
    <x v="1"/>
    <x v="2"/>
  </r>
  <r>
    <x v="155"/>
    <x v="8"/>
    <x v="12"/>
    <n v="28.8"/>
    <n v="115.2"/>
    <x v="6"/>
    <d v="2025-01-08T00:00:00"/>
    <s v="F"/>
    <x v="0"/>
    <x v="4"/>
    <x v="0"/>
    <x v="6"/>
    <x v="3"/>
    <x v="1"/>
    <x v="2"/>
  </r>
  <r>
    <x v="156"/>
    <x v="10"/>
    <x v="9"/>
    <n v="40.5"/>
    <n v="202.5"/>
    <x v="6"/>
    <d v="2025-01-11T00:00:00"/>
    <s v="F"/>
    <x v="3"/>
    <x v="0"/>
    <x v="0"/>
    <x v="6"/>
    <x v="5"/>
    <x v="1"/>
    <x v="2"/>
  </r>
  <r>
    <x v="157"/>
    <x v="18"/>
    <x v="21"/>
    <n v="65.099999999999994"/>
    <n v="911.39999999999986"/>
    <x v="6"/>
    <d v="2025-01-08T00:00:00"/>
    <s v="F"/>
    <x v="4"/>
    <x v="0"/>
    <x v="0"/>
    <x v="7"/>
    <x v="3"/>
    <x v="1"/>
    <x v="2"/>
  </r>
  <r>
    <x v="158"/>
    <x v="8"/>
    <x v="12"/>
    <n v="40.299999999999997"/>
    <n v="161.19999999999999"/>
    <x v="6"/>
    <d v="2025-01-12T00:00:00"/>
    <s v="F"/>
    <x v="2"/>
    <x v="0"/>
    <x v="0"/>
    <x v="7"/>
    <x v="0"/>
    <x v="1"/>
    <x v="2"/>
  </r>
  <r>
    <x v="159"/>
    <x v="6"/>
    <x v="9"/>
    <n v="51.8"/>
    <n v="259"/>
    <x v="6"/>
    <d v="2025-01-08T00:00:00"/>
    <s v="M"/>
    <x v="2"/>
    <x v="2"/>
    <x v="0"/>
    <x v="8"/>
    <x v="3"/>
    <x v="1"/>
    <x v="1"/>
  </r>
  <r>
    <x v="160"/>
    <x v="6"/>
    <x v="2"/>
    <n v="61.3"/>
    <n v="183.89999999999998"/>
    <x v="6"/>
    <d v="2025-01-08T00:00:00"/>
    <s v="F"/>
    <x v="3"/>
    <x v="0"/>
    <x v="0"/>
    <x v="8"/>
    <x v="3"/>
    <x v="1"/>
    <x v="2"/>
  </r>
  <r>
    <x v="161"/>
    <x v="2"/>
    <x v="12"/>
    <n v="122.5"/>
    <n v="490"/>
    <x v="6"/>
    <d v="2025-01-08T00:00:00"/>
    <s v="M"/>
    <x v="0"/>
    <x v="0"/>
    <x v="0"/>
    <x v="8"/>
    <x v="3"/>
    <x v="1"/>
    <x v="1"/>
  </r>
  <r>
    <x v="162"/>
    <x v="0"/>
    <x v="11"/>
    <n v="12.5"/>
    <n v="112.5"/>
    <x v="6"/>
    <d v="2025-01-08T00:00:00"/>
    <s v=""/>
    <x v="1"/>
    <x v="2"/>
    <x v="0"/>
    <x v="8"/>
    <x v="3"/>
    <x v="1"/>
    <x v="0"/>
  </r>
  <r>
    <x v="163"/>
    <x v="15"/>
    <x v="8"/>
    <n v="37.5"/>
    <n v="300"/>
    <x v="6"/>
    <d v="2025-01-08T00:00:00"/>
    <s v="F"/>
    <x v="0"/>
    <x v="0"/>
    <x v="0"/>
    <x v="9"/>
    <x v="3"/>
    <x v="1"/>
    <x v="2"/>
  </r>
  <r>
    <x v="164"/>
    <x v="6"/>
    <x v="2"/>
    <n v="40"/>
    <n v="120"/>
    <x v="6"/>
    <d v="2025-01-10T00:00:00"/>
    <s v="M"/>
    <x v="0"/>
    <x v="4"/>
    <x v="0"/>
    <x v="11"/>
    <x v="2"/>
    <x v="1"/>
    <x v="1"/>
  </r>
  <r>
    <x v="165"/>
    <x v="17"/>
    <x v="8"/>
    <n v="38.5"/>
    <n v="308"/>
    <x v="6"/>
    <d v="2025-01-12T00:00:00"/>
    <s v="F"/>
    <x v="2"/>
    <x v="1"/>
    <x v="0"/>
    <x v="11"/>
    <x v="0"/>
    <x v="1"/>
    <x v="2"/>
  </r>
  <r>
    <x v="166"/>
    <x v="2"/>
    <x v="1"/>
    <n v="86.4"/>
    <n v="172.8"/>
    <x v="6"/>
    <d v="2025-01-09T00:00:00"/>
    <s v="F"/>
    <x v="0"/>
    <x v="0"/>
    <x v="0"/>
    <x v="18"/>
    <x v="1"/>
    <x v="1"/>
    <x v="2"/>
  </r>
  <r>
    <x v="167"/>
    <x v="10"/>
    <x v="0"/>
    <n v="50.7"/>
    <n v="50.7"/>
    <x v="6"/>
    <d v="2025-01-11T00:00:00"/>
    <s v="F"/>
    <x v="1"/>
    <x v="0"/>
    <x v="0"/>
    <x v="18"/>
    <x v="5"/>
    <x v="1"/>
    <x v="2"/>
  </r>
  <r>
    <x v="168"/>
    <x v="10"/>
    <x v="1"/>
    <n v="61"/>
    <n v="122"/>
    <x v="6"/>
    <d v="2025-01-18T00:00:00"/>
    <s v="F"/>
    <x v="4"/>
    <x v="1"/>
    <x v="0"/>
    <x v="18"/>
    <x v="11"/>
    <x v="1"/>
    <x v="2"/>
  </r>
  <r>
    <x v="169"/>
    <x v="4"/>
    <x v="1"/>
    <n v="19.899999999999999"/>
    <n v="39.799999999999997"/>
    <x v="6"/>
    <d v="2025-01-10T00:00:00"/>
    <s v="F"/>
    <x v="1"/>
    <x v="0"/>
    <x v="0"/>
    <x v="28"/>
    <x v="2"/>
    <x v="1"/>
    <x v="2"/>
  </r>
  <r>
    <x v="170"/>
    <x v="5"/>
    <x v="0"/>
    <n v="78.3"/>
    <n v="78.3"/>
    <x v="6"/>
    <d v="2025-01-07T00:00:00"/>
    <s v="F"/>
    <x v="0"/>
    <x v="2"/>
    <x v="0"/>
    <x v="1"/>
    <x v="7"/>
    <x v="1"/>
    <x v="2"/>
  </r>
  <r>
    <x v="171"/>
    <x v="0"/>
    <x v="10"/>
    <n v="10.4"/>
    <n v="197.6"/>
    <x v="6"/>
    <d v="2025-01-09T00:00:00"/>
    <s v="M"/>
    <x v="0"/>
    <x v="2"/>
    <x v="0"/>
    <x v="2"/>
    <x v="1"/>
    <x v="1"/>
    <x v="1"/>
  </r>
  <r>
    <x v="172"/>
    <x v="10"/>
    <x v="0"/>
    <n v="36.1"/>
    <n v="36.1"/>
    <x v="6"/>
    <d v="2025-01-10T00:00:00"/>
    <s v="M"/>
    <x v="3"/>
    <x v="2"/>
    <x v="0"/>
    <x v="3"/>
    <x v="2"/>
    <x v="1"/>
    <x v="1"/>
  </r>
  <r>
    <x v="173"/>
    <x v="14"/>
    <x v="1"/>
    <n v="17.3"/>
    <n v="34.6"/>
    <x v="6"/>
    <d v="2025-01-09T00:00:00"/>
    <s v="F"/>
    <x v="1"/>
    <x v="2"/>
    <x v="0"/>
    <x v="3"/>
    <x v="1"/>
    <x v="1"/>
    <x v="2"/>
  </r>
  <r>
    <x v="174"/>
    <x v="10"/>
    <x v="1"/>
    <n v="30.5"/>
    <n v="61"/>
    <x v="6"/>
    <d v="2025-01-08T00:00:00"/>
    <s v="F"/>
    <x v="1"/>
    <x v="2"/>
    <x v="0"/>
    <x v="3"/>
    <x v="3"/>
    <x v="1"/>
    <x v="2"/>
  </r>
  <r>
    <x v="175"/>
    <x v="18"/>
    <x v="22"/>
    <n v="70.099999999999994"/>
    <n v="4346.2"/>
    <x v="6"/>
    <d v="2025-01-07T00:00:00"/>
    <s v="F"/>
    <x v="2"/>
    <x v="0"/>
    <x v="0"/>
    <x v="3"/>
    <x v="7"/>
    <x v="1"/>
    <x v="2"/>
  </r>
  <r>
    <x v="176"/>
    <x v="3"/>
    <x v="0"/>
    <n v="76.099999999999994"/>
    <n v="76.099999999999994"/>
    <x v="6"/>
    <d v="2025-01-07T00:00:00"/>
    <s v="F"/>
    <x v="2"/>
    <x v="1"/>
    <x v="0"/>
    <x v="3"/>
    <x v="7"/>
    <x v="1"/>
    <x v="2"/>
  </r>
  <r>
    <x v="177"/>
    <x v="15"/>
    <x v="15"/>
    <n v="34.200000000000003"/>
    <n v="444.6"/>
    <x v="6"/>
    <d v="2025-01-08T00:00:00"/>
    <s v="M"/>
    <x v="0"/>
    <x v="0"/>
    <x v="0"/>
    <x v="3"/>
    <x v="3"/>
    <x v="1"/>
    <x v="1"/>
  </r>
  <r>
    <x v="178"/>
    <x v="8"/>
    <x v="9"/>
    <n v="30.3"/>
    <n v="151.5"/>
    <x v="6"/>
    <d v="2025-01-12T00:00:00"/>
    <s v="F"/>
    <x v="4"/>
    <x v="0"/>
    <x v="0"/>
    <x v="3"/>
    <x v="0"/>
    <x v="1"/>
    <x v="2"/>
  </r>
  <r>
    <x v="179"/>
    <x v="6"/>
    <x v="9"/>
    <n v="52.5"/>
    <n v="262.5"/>
    <x v="6"/>
    <d v="2025-01-11T00:00:00"/>
    <s v=""/>
    <x v="3"/>
    <x v="0"/>
    <x v="0"/>
    <x v="3"/>
    <x v="5"/>
    <x v="1"/>
    <x v="0"/>
  </r>
  <r>
    <x v="180"/>
    <x v="9"/>
    <x v="5"/>
    <n v="28.7"/>
    <n v="315.7"/>
    <x v="6"/>
    <d v="2025-01-08T00:00:00"/>
    <s v="F"/>
    <x v="2"/>
    <x v="0"/>
    <x v="0"/>
    <x v="3"/>
    <x v="3"/>
    <x v="1"/>
    <x v="2"/>
  </r>
  <r>
    <x v="181"/>
    <x v="7"/>
    <x v="3"/>
    <n v="52"/>
    <n v="364"/>
    <x v="6"/>
    <d v="2025-01-08T00:00:00"/>
    <s v="M"/>
    <x v="1"/>
    <x v="4"/>
    <x v="0"/>
    <x v="3"/>
    <x v="3"/>
    <x v="1"/>
    <x v="1"/>
  </r>
  <r>
    <x v="182"/>
    <x v="0"/>
    <x v="0"/>
    <n v="13.3"/>
    <n v="13.3"/>
    <x v="7"/>
    <d v="2025-01-12T00:00:00"/>
    <s v="F"/>
    <x v="2"/>
    <x v="1"/>
    <x v="0"/>
    <x v="3"/>
    <x v="5"/>
    <x v="1"/>
    <x v="2"/>
  </r>
  <r>
    <x v="183"/>
    <x v="0"/>
    <x v="2"/>
    <n v="15.7"/>
    <n v="47.099999999999994"/>
    <x v="7"/>
    <d v="2025-01-09T00:00:00"/>
    <s v="F"/>
    <x v="1"/>
    <x v="0"/>
    <x v="0"/>
    <x v="29"/>
    <x v="3"/>
    <x v="1"/>
    <x v="2"/>
  </r>
  <r>
    <x v="184"/>
    <x v="8"/>
    <x v="1"/>
    <n v="25.6"/>
    <n v="51.2"/>
    <x v="7"/>
    <d v="2025-01-09T00:00:00"/>
    <s v="M"/>
    <x v="0"/>
    <x v="2"/>
    <x v="0"/>
    <x v="23"/>
    <x v="3"/>
    <x v="1"/>
    <x v="1"/>
  </r>
  <r>
    <x v="185"/>
    <x v="8"/>
    <x v="0"/>
    <n v="43.4"/>
    <n v="43.4"/>
    <x v="7"/>
    <d v="2025-01-13T00:00:00"/>
    <s v="M"/>
    <x v="0"/>
    <x v="0"/>
    <x v="0"/>
    <x v="6"/>
    <x v="0"/>
    <x v="1"/>
    <x v="1"/>
  </r>
  <r>
    <x v="186"/>
    <x v="11"/>
    <x v="11"/>
    <n v="33.4"/>
    <n v="300.59999999999997"/>
    <x v="7"/>
    <d v="2025-01-08T00:00:00"/>
    <s v="F"/>
    <x v="0"/>
    <x v="0"/>
    <x v="0"/>
    <x v="8"/>
    <x v="7"/>
    <x v="1"/>
    <x v="2"/>
  </r>
  <r>
    <x v="187"/>
    <x v="8"/>
    <x v="10"/>
    <n v="55"/>
    <n v="1045"/>
    <x v="7"/>
    <d v="2025-01-09T00:00:00"/>
    <s v="F"/>
    <x v="1"/>
    <x v="2"/>
    <x v="0"/>
    <x v="8"/>
    <x v="3"/>
    <x v="1"/>
    <x v="2"/>
  </r>
  <r>
    <x v="188"/>
    <x v="8"/>
    <x v="2"/>
    <n v="23.6"/>
    <n v="70.800000000000011"/>
    <x v="7"/>
    <d v="2025-01-09T00:00:00"/>
    <s v="M"/>
    <x v="0"/>
    <x v="2"/>
    <x v="0"/>
    <x v="8"/>
    <x v="3"/>
    <x v="1"/>
    <x v="1"/>
  </r>
  <r>
    <x v="189"/>
    <x v="12"/>
    <x v="11"/>
    <n v="104"/>
    <n v="936"/>
    <x v="7"/>
    <d v="2025-01-10T00:00:00"/>
    <s v="F"/>
    <x v="2"/>
    <x v="2"/>
    <x v="0"/>
    <x v="17"/>
    <x v="1"/>
    <x v="1"/>
    <x v="2"/>
  </r>
  <r>
    <x v="190"/>
    <x v="6"/>
    <x v="1"/>
    <n v="51.8"/>
    <n v="103.6"/>
    <x v="7"/>
    <d v="2025-01-12T00:00:00"/>
    <s v=""/>
    <x v="0"/>
    <x v="2"/>
    <x v="0"/>
    <x v="10"/>
    <x v="5"/>
    <x v="1"/>
    <x v="0"/>
  </r>
  <r>
    <x v="191"/>
    <x v="10"/>
    <x v="9"/>
    <n v="34.5"/>
    <n v="172.5"/>
    <x v="7"/>
    <d v="2025-01-10T00:00:00"/>
    <s v=""/>
    <x v="2"/>
    <x v="2"/>
    <x v="0"/>
    <x v="11"/>
    <x v="1"/>
    <x v="1"/>
    <x v="0"/>
  </r>
  <r>
    <x v="192"/>
    <x v="6"/>
    <x v="1"/>
    <n v="51.8"/>
    <n v="103.6"/>
    <x v="7"/>
    <d v="2025-01-10T00:00:00"/>
    <s v="M"/>
    <x v="1"/>
    <x v="2"/>
    <x v="0"/>
    <x v="30"/>
    <x v="1"/>
    <x v="1"/>
    <x v="1"/>
  </r>
  <r>
    <x v="193"/>
    <x v="18"/>
    <x v="23"/>
    <n v="131.5"/>
    <n v="5654.5"/>
    <x v="7"/>
    <d v="2025-01-09T00:00:00"/>
    <s v="F"/>
    <x v="0"/>
    <x v="2"/>
    <x v="0"/>
    <x v="18"/>
    <x v="3"/>
    <x v="1"/>
    <x v="2"/>
  </r>
  <r>
    <x v="194"/>
    <x v="8"/>
    <x v="3"/>
    <n v="47.8"/>
    <n v="334.59999999999997"/>
    <x v="7"/>
    <d v="2025-01-08T00:00:00"/>
    <s v="F"/>
    <x v="0"/>
    <x v="0"/>
    <x v="0"/>
    <x v="19"/>
    <x v="7"/>
    <x v="1"/>
    <x v="2"/>
  </r>
  <r>
    <x v="195"/>
    <x v="0"/>
    <x v="1"/>
    <n v="10.199999999999999"/>
    <n v="20.399999999999999"/>
    <x v="7"/>
    <d v="2025-01-10T00:00:00"/>
    <s v="F"/>
    <x v="0"/>
    <x v="0"/>
    <x v="0"/>
    <x v="19"/>
    <x v="1"/>
    <x v="1"/>
    <x v="2"/>
  </r>
  <r>
    <x v="196"/>
    <x v="8"/>
    <x v="8"/>
    <n v="41"/>
    <n v="328"/>
    <x v="7"/>
    <d v="2025-01-08T00:00:00"/>
    <s v="F"/>
    <x v="1"/>
    <x v="2"/>
    <x v="0"/>
    <x v="19"/>
    <x v="7"/>
    <x v="1"/>
    <x v="2"/>
  </r>
  <r>
    <x v="197"/>
    <x v="10"/>
    <x v="3"/>
    <n v="50.8"/>
    <n v="355.59999999999997"/>
    <x v="7"/>
    <d v="2025-01-11T00:00:00"/>
    <s v="F"/>
    <x v="1"/>
    <x v="0"/>
    <x v="0"/>
    <x v="21"/>
    <x v="2"/>
    <x v="1"/>
    <x v="2"/>
  </r>
  <r>
    <x v="198"/>
    <x v="18"/>
    <x v="2"/>
    <n v="39.6"/>
    <n v="118.80000000000001"/>
    <x v="7"/>
    <d v="2025-01-09T00:00:00"/>
    <s v="M"/>
    <x v="2"/>
    <x v="2"/>
    <x v="0"/>
    <x v="1"/>
    <x v="3"/>
    <x v="1"/>
    <x v="1"/>
  </r>
  <r>
    <x v="199"/>
    <x v="5"/>
    <x v="1"/>
    <n v="69.5"/>
    <n v="139"/>
    <x v="7"/>
    <d v="2025-01-10T00:00:00"/>
    <s v="M"/>
    <x v="0"/>
    <x v="2"/>
    <x v="0"/>
    <x v="2"/>
    <x v="1"/>
    <x v="1"/>
    <x v="1"/>
  </r>
  <r>
    <x v="200"/>
    <x v="8"/>
    <x v="8"/>
    <n v="32.6"/>
    <n v="260.8"/>
    <x v="7"/>
    <d v="2025-01-11T00:00:00"/>
    <s v="M"/>
    <x v="1"/>
    <x v="0"/>
    <x v="0"/>
    <x v="3"/>
    <x v="2"/>
    <x v="1"/>
    <x v="1"/>
  </r>
  <r>
    <x v="201"/>
    <x v="7"/>
    <x v="1"/>
    <n v="49.1"/>
    <n v="98.2"/>
    <x v="7"/>
    <d v="2025-01-16T00:00:00"/>
    <s v="M"/>
    <x v="3"/>
    <x v="2"/>
    <x v="0"/>
    <x v="3"/>
    <x v="9"/>
    <x v="1"/>
    <x v="1"/>
  </r>
  <r>
    <x v="202"/>
    <x v="6"/>
    <x v="1"/>
    <n v="49.4"/>
    <n v="98.8"/>
    <x v="8"/>
    <d v="2025-01-10T00:00:00"/>
    <s v="F"/>
    <x v="2"/>
    <x v="0"/>
    <x v="0"/>
    <x v="3"/>
    <x v="3"/>
    <x v="1"/>
    <x v="2"/>
  </r>
  <r>
    <x v="203"/>
    <x v="7"/>
    <x v="3"/>
    <n v="65.099999999999994"/>
    <n v="455.69999999999993"/>
    <x v="8"/>
    <d v="2025-01-12T00:00:00"/>
    <s v="F"/>
    <x v="2"/>
    <x v="2"/>
    <x v="0"/>
    <x v="3"/>
    <x v="2"/>
    <x v="1"/>
    <x v="2"/>
  </r>
  <r>
    <x v="204"/>
    <x v="3"/>
    <x v="1"/>
    <n v="52.1"/>
    <n v="104.2"/>
    <x v="8"/>
    <d v="2025-01-13T00:00:00"/>
    <s v="F"/>
    <x v="2"/>
    <x v="0"/>
    <x v="0"/>
    <x v="3"/>
    <x v="5"/>
    <x v="1"/>
    <x v="2"/>
  </r>
  <r>
    <x v="205"/>
    <x v="2"/>
    <x v="12"/>
    <n v="129.19999999999999"/>
    <n v="516.79999999999995"/>
    <x v="8"/>
    <d v="2025-01-10T00:00:00"/>
    <s v="F"/>
    <x v="1"/>
    <x v="0"/>
    <x v="0"/>
    <x v="3"/>
    <x v="3"/>
    <x v="1"/>
    <x v="2"/>
  </r>
  <r>
    <x v="206"/>
    <x v="1"/>
    <x v="10"/>
    <n v="81.8"/>
    <n v="1554.2"/>
    <x v="8"/>
    <d v="2025-01-09T00:00:00"/>
    <s v="F"/>
    <x v="1"/>
    <x v="1"/>
    <x v="0"/>
    <x v="3"/>
    <x v="7"/>
    <x v="1"/>
    <x v="2"/>
  </r>
  <r>
    <x v="207"/>
    <x v="17"/>
    <x v="0"/>
    <n v="24.9"/>
    <n v="24.9"/>
    <x v="8"/>
    <d v="2025-01-13T00:00:00"/>
    <s v="F"/>
    <x v="1"/>
    <x v="0"/>
    <x v="0"/>
    <x v="3"/>
    <x v="5"/>
    <x v="1"/>
    <x v="2"/>
  </r>
  <r>
    <x v="208"/>
    <x v="0"/>
    <x v="2"/>
    <n v="49.4"/>
    <n v="148.19999999999999"/>
    <x v="8"/>
    <d v="2025-01-12T00:00:00"/>
    <s v="F"/>
    <x v="4"/>
    <x v="4"/>
    <x v="0"/>
    <x v="3"/>
    <x v="2"/>
    <x v="1"/>
    <x v="2"/>
  </r>
  <r>
    <x v="209"/>
    <x v="8"/>
    <x v="1"/>
    <n v="22.7"/>
    <n v="45.4"/>
    <x v="8"/>
    <d v="2025-01-10T00:00:00"/>
    <s v="M"/>
    <x v="3"/>
    <x v="2"/>
    <x v="0"/>
    <x v="3"/>
    <x v="3"/>
    <x v="1"/>
    <x v="1"/>
  </r>
  <r>
    <x v="210"/>
    <x v="1"/>
    <x v="0"/>
    <n v="77.3"/>
    <n v="77.3"/>
    <x v="8"/>
    <d v="2025-01-09T00:00:00"/>
    <s v="F"/>
    <x v="0"/>
    <x v="2"/>
    <x v="0"/>
    <x v="6"/>
    <x v="7"/>
    <x v="1"/>
    <x v="2"/>
  </r>
  <r>
    <x v="211"/>
    <x v="1"/>
    <x v="9"/>
    <n v="109.1"/>
    <n v="545.5"/>
    <x v="8"/>
    <d v="2025-01-12T00:00:00"/>
    <s v="F"/>
    <x v="0"/>
    <x v="0"/>
    <x v="0"/>
    <x v="6"/>
    <x v="2"/>
    <x v="1"/>
    <x v="2"/>
  </r>
  <r>
    <x v="212"/>
    <x v="2"/>
    <x v="12"/>
    <n v="53.9"/>
    <n v="215.6"/>
    <x v="8"/>
    <d v="2025-01-10T00:00:00"/>
    <s v="M"/>
    <x v="0"/>
    <x v="1"/>
    <x v="0"/>
    <x v="8"/>
    <x v="3"/>
    <x v="1"/>
    <x v="1"/>
  </r>
  <r>
    <x v="213"/>
    <x v="9"/>
    <x v="18"/>
    <n v="21.2"/>
    <n v="551.19999999999993"/>
    <x v="8"/>
    <d v="2025-01-09T00:00:00"/>
    <s v="F"/>
    <x v="0"/>
    <x v="0"/>
    <x v="0"/>
    <x v="9"/>
    <x v="7"/>
    <x v="1"/>
    <x v="2"/>
  </r>
  <r>
    <x v="214"/>
    <x v="16"/>
    <x v="12"/>
    <n v="69"/>
    <n v="276"/>
    <x v="8"/>
    <d v="2025-01-11T00:00:00"/>
    <s v="F"/>
    <x v="1"/>
    <x v="1"/>
    <x v="0"/>
    <x v="18"/>
    <x v="1"/>
    <x v="1"/>
    <x v="2"/>
  </r>
  <r>
    <x v="215"/>
    <x v="6"/>
    <x v="2"/>
    <n v="46.2"/>
    <n v="138.60000000000002"/>
    <x v="8"/>
    <d v="2025-01-11T00:00:00"/>
    <s v="F"/>
    <x v="0"/>
    <x v="2"/>
    <x v="0"/>
    <x v="31"/>
    <x v="1"/>
    <x v="1"/>
    <x v="2"/>
  </r>
  <r>
    <x v="216"/>
    <x v="1"/>
    <x v="9"/>
    <n v="97.4"/>
    <n v="487"/>
    <x v="8"/>
    <d v="2025-01-13T00:00:00"/>
    <s v="F"/>
    <x v="4"/>
    <x v="2"/>
    <x v="0"/>
    <x v="21"/>
    <x v="5"/>
    <x v="1"/>
    <x v="2"/>
  </r>
  <r>
    <x v="217"/>
    <x v="8"/>
    <x v="9"/>
    <n v="21"/>
    <n v="105"/>
    <x v="8"/>
    <d v="2025-01-10T00:00:00"/>
    <s v="M"/>
    <x v="0"/>
    <x v="1"/>
    <x v="0"/>
    <x v="21"/>
    <x v="3"/>
    <x v="1"/>
    <x v="1"/>
  </r>
  <r>
    <x v="218"/>
    <x v="5"/>
    <x v="1"/>
    <n v="32.700000000000003"/>
    <n v="65.400000000000006"/>
    <x v="9"/>
    <d v="2025-01-13T00:00:00"/>
    <s v="F"/>
    <x v="1"/>
    <x v="0"/>
    <x v="0"/>
    <x v="2"/>
    <x v="2"/>
    <x v="1"/>
    <x v="2"/>
  </r>
  <r>
    <x v="219"/>
    <x v="6"/>
    <x v="12"/>
    <n v="48"/>
    <n v="192"/>
    <x v="9"/>
    <d v="2025-01-11T00:00:00"/>
    <s v="M"/>
    <x v="3"/>
    <x v="0"/>
    <x v="0"/>
    <x v="3"/>
    <x v="3"/>
    <x v="1"/>
    <x v="1"/>
  </r>
  <r>
    <x v="220"/>
    <x v="6"/>
    <x v="2"/>
    <n v="68.2"/>
    <n v="204.60000000000002"/>
    <x v="9"/>
    <d v="2025-01-14T00:00:00"/>
    <s v=""/>
    <x v="0"/>
    <x v="2"/>
    <x v="0"/>
    <x v="3"/>
    <x v="5"/>
    <x v="1"/>
    <x v="0"/>
  </r>
  <r>
    <x v="221"/>
    <x v="5"/>
    <x v="0"/>
    <n v="45.4"/>
    <n v="45.4"/>
    <x v="9"/>
    <d v="2025-01-12T00:00:00"/>
    <s v="M"/>
    <x v="1"/>
    <x v="0"/>
    <x v="0"/>
    <x v="3"/>
    <x v="1"/>
    <x v="1"/>
    <x v="1"/>
  </r>
  <r>
    <x v="222"/>
    <x v="12"/>
    <x v="1"/>
    <n v="53.9"/>
    <n v="107.8"/>
    <x v="9"/>
    <d v="2025-01-11T00:00:00"/>
    <s v="F"/>
    <x v="2"/>
    <x v="0"/>
    <x v="0"/>
    <x v="3"/>
    <x v="3"/>
    <x v="1"/>
    <x v="2"/>
  </r>
  <r>
    <x v="223"/>
    <x v="2"/>
    <x v="12"/>
    <n v="62.1"/>
    <n v="248.4"/>
    <x v="9"/>
    <d v="2025-01-14T00:00:00"/>
    <s v="F"/>
    <x v="0"/>
    <x v="0"/>
    <x v="0"/>
    <x v="4"/>
    <x v="5"/>
    <x v="1"/>
    <x v="2"/>
  </r>
  <r>
    <x v="224"/>
    <x v="13"/>
    <x v="3"/>
    <n v="33.1"/>
    <n v="231.70000000000002"/>
    <x v="9"/>
    <d v="2025-01-15T00:00:00"/>
    <s v="M"/>
    <x v="1"/>
    <x v="0"/>
    <x v="0"/>
    <x v="6"/>
    <x v="0"/>
    <x v="1"/>
    <x v="1"/>
  </r>
  <r>
    <x v="225"/>
    <x v="18"/>
    <x v="9"/>
    <n v="35.200000000000003"/>
    <n v="176"/>
    <x v="9"/>
    <d v="2025-01-10T00:00:00"/>
    <s v="F"/>
    <x v="1"/>
    <x v="0"/>
    <x v="0"/>
    <x v="6"/>
    <x v="7"/>
    <x v="1"/>
    <x v="2"/>
  </r>
  <r>
    <x v="226"/>
    <x v="9"/>
    <x v="2"/>
    <n v="32.1"/>
    <n v="96.300000000000011"/>
    <x v="9"/>
    <d v="2025-01-15T00:00:00"/>
    <s v="M"/>
    <x v="3"/>
    <x v="0"/>
    <x v="0"/>
    <x v="8"/>
    <x v="0"/>
    <x v="1"/>
    <x v="1"/>
  </r>
  <r>
    <x v="227"/>
    <x v="11"/>
    <x v="0"/>
    <n v="38.1"/>
    <n v="38.1"/>
    <x v="9"/>
    <d v="2025-01-15T00:00:00"/>
    <s v="F"/>
    <x v="0"/>
    <x v="2"/>
    <x v="0"/>
    <x v="8"/>
    <x v="0"/>
    <x v="1"/>
    <x v="2"/>
  </r>
  <r>
    <x v="228"/>
    <x v="8"/>
    <x v="0"/>
    <n v="65.2"/>
    <n v="65.2"/>
    <x v="9"/>
    <d v="2025-01-15T00:00:00"/>
    <s v="F"/>
    <x v="3"/>
    <x v="1"/>
    <x v="0"/>
    <x v="8"/>
    <x v="0"/>
    <x v="1"/>
    <x v="2"/>
  </r>
  <r>
    <x v="229"/>
    <x v="10"/>
    <x v="3"/>
    <n v="55.2"/>
    <n v="386.40000000000003"/>
    <x v="9"/>
    <d v="2025-01-11T00:00:00"/>
    <s v="M"/>
    <x v="2"/>
    <x v="0"/>
    <x v="0"/>
    <x v="11"/>
    <x v="3"/>
    <x v="1"/>
    <x v="1"/>
  </r>
  <r>
    <x v="230"/>
    <x v="6"/>
    <x v="0"/>
    <n v="62"/>
    <n v="62"/>
    <x v="9"/>
    <d v="2025-01-14T00:00:00"/>
    <s v="F"/>
    <x v="0"/>
    <x v="0"/>
    <x v="0"/>
    <x v="11"/>
    <x v="5"/>
    <x v="1"/>
    <x v="2"/>
  </r>
  <r>
    <x v="231"/>
    <x v="7"/>
    <x v="2"/>
    <n v="45.9"/>
    <n v="137.69999999999999"/>
    <x v="9"/>
    <d v="2025-01-11T00:00:00"/>
    <s v="F"/>
    <x v="2"/>
    <x v="0"/>
    <x v="0"/>
    <x v="32"/>
    <x v="3"/>
    <x v="1"/>
    <x v="2"/>
  </r>
  <r>
    <x v="232"/>
    <x v="18"/>
    <x v="2"/>
    <n v="58.3"/>
    <n v="174.89999999999998"/>
    <x v="9"/>
    <d v="2025-01-10T00:00:00"/>
    <s v="M"/>
    <x v="1"/>
    <x v="1"/>
    <x v="0"/>
    <x v="18"/>
    <x v="7"/>
    <x v="1"/>
    <x v="1"/>
  </r>
  <r>
    <x v="233"/>
    <x v="8"/>
    <x v="1"/>
    <n v="22.3"/>
    <n v="44.6"/>
    <x v="9"/>
    <d v="2025-01-13T00:00:00"/>
    <s v="F"/>
    <x v="0"/>
    <x v="2"/>
    <x v="0"/>
    <x v="20"/>
    <x v="2"/>
    <x v="1"/>
    <x v="2"/>
  </r>
  <r>
    <x v="234"/>
    <x v="19"/>
    <x v="9"/>
    <n v="24"/>
    <n v="120"/>
    <x v="9"/>
    <d v="2025-01-11T00:00:00"/>
    <s v="M"/>
    <x v="4"/>
    <x v="0"/>
    <x v="0"/>
    <x v="1"/>
    <x v="3"/>
    <x v="1"/>
    <x v="1"/>
  </r>
  <r>
    <x v="235"/>
    <x v="0"/>
    <x v="7"/>
    <n v="21.3"/>
    <n v="213"/>
    <x v="9"/>
    <d v="2025-01-10T00:00:00"/>
    <s v="F"/>
    <x v="1"/>
    <x v="2"/>
    <x v="0"/>
    <x v="22"/>
    <x v="7"/>
    <x v="1"/>
    <x v="2"/>
  </r>
  <r>
    <x v="236"/>
    <x v="6"/>
    <x v="24"/>
    <n v="57.8"/>
    <n v="2369.7999999999997"/>
    <x v="9"/>
    <d v="2025-01-12T00:00:00"/>
    <s v="F"/>
    <x v="0"/>
    <x v="2"/>
    <x v="0"/>
    <x v="3"/>
    <x v="1"/>
    <x v="1"/>
    <x v="2"/>
  </r>
  <r>
    <x v="237"/>
    <x v="10"/>
    <x v="2"/>
    <n v="67.599999999999994"/>
    <n v="202.79999999999998"/>
    <x v="9"/>
    <d v="2025-01-11T00:00:00"/>
    <s v="F"/>
    <x v="0"/>
    <x v="0"/>
    <x v="0"/>
    <x v="3"/>
    <x v="3"/>
    <x v="1"/>
    <x v="2"/>
  </r>
  <r>
    <x v="238"/>
    <x v="6"/>
    <x v="13"/>
    <n v="66.7"/>
    <n v="400.20000000000005"/>
    <x v="9"/>
    <d v="2025-01-14T00:00:00"/>
    <s v="M"/>
    <x v="4"/>
    <x v="1"/>
    <x v="0"/>
    <x v="3"/>
    <x v="5"/>
    <x v="1"/>
    <x v="1"/>
  </r>
  <r>
    <x v="239"/>
    <x v="1"/>
    <x v="12"/>
    <n v="53.1"/>
    <n v="212.4"/>
    <x v="9"/>
    <d v="2025-01-12T00:00:00"/>
    <s v="F"/>
    <x v="1"/>
    <x v="0"/>
    <x v="0"/>
    <x v="3"/>
    <x v="1"/>
    <x v="1"/>
    <x v="2"/>
  </r>
  <r>
    <x v="240"/>
    <x v="12"/>
    <x v="2"/>
    <n v="57.4"/>
    <n v="172.2"/>
    <x v="9"/>
    <d v="2025-01-13T00:00:00"/>
    <s v="F"/>
    <x v="0"/>
    <x v="2"/>
    <x v="0"/>
    <x v="29"/>
    <x v="2"/>
    <x v="1"/>
    <x v="2"/>
  </r>
  <r>
    <x v="241"/>
    <x v="2"/>
    <x v="9"/>
    <n v="58.1"/>
    <n v="290.5"/>
    <x v="9"/>
    <d v="2025-01-10T00:00:00"/>
    <s v="M"/>
    <x v="2"/>
    <x v="2"/>
    <x v="0"/>
    <x v="6"/>
    <x v="7"/>
    <x v="1"/>
    <x v="1"/>
  </r>
  <r>
    <x v="242"/>
    <x v="5"/>
    <x v="2"/>
    <n v="31.8"/>
    <n v="95.4"/>
    <x v="10"/>
    <d v="2025-01-13T00:00:00"/>
    <s v="M"/>
    <x v="3"/>
    <x v="0"/>
    <x v="0"/>
    <x v="6"/>
    <x v="1"/>
    <x v="1"/>
    <x v="1"/>
  </r>
  <r>
    <x v="243"/>
    <x v="4"/>
    <x v="2"/>
    <n v="31.5"/>
    <n v="94.5"/>
    <x v="10"/>
    <d v="2025-01-14T00:00:00"/>
    <s v="M"/>
    <x v="0"/>
    <x v="1"/>
    <x v="0"/>
    <x v="8"/>
    <x v="2"/>
    <x v="1"/>
    <x v="1"/>
  </r>
  <r>
    <x v="244"/>
    <x v="6"/>
    <x v="3"/>
    <n v="55.9"/>
    <n v="391.3"/>
    <x v="10"/>
    <d v="2025-01-15T00:00:00"/>
    <s v="F"/>
    <x v="1"/>
    <x v="2"/>
    <x v="0"/>
    <x v="8"/>
    <x v="5"/>
    <x v="1"/>
    <x v="2"/>
  </r>
  <r>
    <x v="245"/>
    <x v="8"/>
    <x v="1"/>
    <n v="36.4"/>
    <n v="72.8"/>
    <x v="10"/>
    <d v="2025-01-12T00:00:00"/>
    <s v="M"/>
    <x v="1"/>
    <x v="1"/>
    <x v="0"/>
    <x v="9"/>
    <x v="3"/>
    <x v="1"/>
    <x v="1"/>
  </r>
  <r>
    <x v="246"/>
    <x v="1"/>
    <x v="9"/>
    <n v="47.3"/>
    <n v="236.5"/>
    <x v="10"/>
    <d v="2025-01-14T00:00:00"/>
    <s v="M"/>
    <x v="2"/>
    <x v="0"/>
    <x v="0"/>
    <x v="10"/>
    <x v="2"/>
    <x v="1"/>
    <x v="1"/>
  </r>
  <r>
    <x v="247"/>
    <x v="6"/>
    <x v="2"/>
    <n v="82.5"/>
    <n v="247.5"/>
    <x v="10"/>
    <d v="2025-01-12T00:00:00"/>
    <s v="M"/>
    <x v="0"/>
    <x v="0"/>
    <x v="0"/>
    <x v="11"/>
    <x v="3"/>
    <x v="1"/>
    <x v="1"/>
  </r>
  <r>
    <x v="248"/>
    <x v="0"/>
    <x v="0"/>
    <n v="14.3"/>
    <n v="14.3"/>
    <x v="10"/>
    <d v="2025-01-12T00:00:00"/>
    <s v="F"/>
    <x v="0"/>
    <x v="0"/>
    <x v="0"/>
    <x v="21"/>
    <x v="3"/>
    <x v="1"/>
    <x v="2"/>
  </r>
  <r>
    <x v="249"/>
    <x v="2"/>
    <x v="13"/>
    <n v="57.6"/>
    <n v="345.6"/>
    <x v="10"/>
    <d v="2025-01-25T00:00:00"/>
    <s v="F"/>
    <x v="0"/>
    <x v="0"/>
    <x v="0"/>
    <x v="21"/>
    <x v="12"/>
    <x v="1"/>
    <x v="2"/>
  </r>
  <r>
    <x v="250"/>
    <x v="2"/>
    <x v="2"/>
    <n v="142.4"/>
    <n v="427.20000000000005"/>
    <x v="10"/>
    <d v="2025-01-13T00:00:00"/>
    <s v="M"/>
    <x v="4"/>
    <x v="1"/>
    <x v="0"/>
    <x v="21"/>
    <x v="1"/>
    <x v="1"/>
    <x v="1"/>
  </r>
  <r>
    <x v="251"/>
    <x v="12"/>
    <x v="0"/>
    <n v="30.2"/>
    <n v="30.2"/>
    <x v="10"/>
    <d v="2025-01-15T00:00:00"/>
    <s v="M"/>
    <x v="1"/>
    <x v="2"/>
    <x v="0"/>
    <x v="2"/>
    <x v="5"/>
    <x v="1"/>
    <x v="1"/>
  </r>
  <r>
    <x v="252"/>
    <x v="18"/>
    <x v="2"/>
    <n v="65.3"/>
    <n v="195.89999999999998"/>
    <x v="10"/>
    <d v="2025-01-12T00:00:00"/>
    <s v="O"/>
    <x v="1"/>
    <x v="0"/>
    <x v="0"/>
    <x v="33"/>
    <x v="3"/>
    <x v="1"/>
    <x v="3"/>
  </r>
  <r>
    <x v="253"/>
    <x v="0"/>
    <x v="1"/>
    <n v="33.4"/>
    <n v="66.8"/>
    <x v="10"/>
    <d v="2025-01-12T00:00:00"/>
    <s v="M"/>
    <x v="1"/>
    <x v="1"/>
    <x v="0"/>
    <x v="22"/>
    <x v="3"/>
    <x v="1"/>
    <x v="1"/>
  </r>
  <r>
    <x v="254"/>
    <x v="7"/>
    <x v="1"/>
    <n v="45.1"/>
    <n v="90.2"/>
    <x v="10"/>
    <d v="2025-01-19T00:00:00"/>
    <s v="M"/>
    <x v="0"/>
    <x v="0"/>
    <x v="0"/>
    <x v="34"/>
    <x v="9"/>
    <x v="1"/>
    <x v="1"/>
  </r>
  <r>
    <x v="255"/>
    <x v="2"/>
    <x v="3"/>
    <n v="61.7"/>
    <n v="431.90000000000003"/>
    <x v="10"/>
    <d v="2025-01-13T00:00:00"/>
    <s v="F"/>
    <x v="4"/>
    <x v="0"/>
    <x v="0"/>
    <x v="3"/>
    <x v="1"/>
    <x v="1"/>
    <x v="2"/>
  </r>
  <r>
    <x v="256"/>
    <x v="9"/>
    <x v="2"/>
    <n v="45.1"/>
    <n v="135.30000000000001"/>
    <x v="11"/>
    <d v="2025-01-13T00:00:00"/>
    <s v="M"/>
    <x v="4"/>
    <x v="1"/>
    <x v="0"/>
    <x v="3"/>
    <x v="3"/>
    <x v="2"/>
    <x v="1"/>
  </r>
  <r>
    <x v="257"/>
    <x v="15"/>
    <x v="9"/>
    <n v="22.7"/>
    <n v="113.5"/>
    <x v="11"/>
    <d v="2025-01-17T00:00:00"/>
    <s v="M"/>
    <x v="0"/>
    <x v="2"/>
    <x v="0"/>
    <x v="35"/>
    <x v="0"/>
    <x v="2"/>
    <x v="1"/>
  </r>
  <r>
    <x v="258"/>
    <x v="8"/>
    <x v="0"/>
    <n v="17.600000000000001"/>
    <n v="17.600000000000001"/>
    <x v="11"/>
    <d v="2025-01-13T00:00:00"/>
    <s v="F"/>
    <x v="0"/>
    <x v="2"/>
    <x v="0"/>
    <x v="23"/>
    <x v="3"/>
    <x v="2"/>
    <x v="2"/>
  </r>
  <r>
    <x v="259"/>
    <x v="14"/>
    <x v="1"/>
    <n v="11.3"/>
    <n v="22.6"/>
    <x v="11"/>
    <d v="2025-01-15T00:00:00"/>
    <s v="F"/>
    <x v="3"/>
    <x v="2"/>
    <x v="0"/>
    <x v="23"/>
    <x v="2"/>
    <x v="2"/>
    <x v="2"/>
  </r>
  <r>
    <x v="260"/>
    <x v="6"/>
    <x v="2"/>
    <n v="53.4"/>
    <n v="160.19999999999999"/>
    <x v="11"/>
    <d v="2025-01-15T00:00:00"/>
    <s v="M"/>
    <x v="3"/>
    <x v="2"/>
    <x v="0"/>
    <x v="36"/>
    <x v="2"/>
    <x v="2"/>
    <x v="1"/>
  </r>
  <r>
    <x v="261"/>
    <x v="6"/>
    <x v="5"/>
    <n v="51.1"/>
    <n v="562.1"/>
    <x v="11"/>
    <d v="2025-01-14T00:00:00"/>
    <s v="F"/>
    <x v="2"/>
    <x v="2"/>
    <x v="0"/>
    <x v="8"/>
    <x v="1"/>
    <x v="2"/>
    <x v="2"/>
  </r>
  <r>
    <x v="262"/>
    <x v="8"/>
    <x v="1"/>
    <n v="27.5"/>
    <n v="55"/>
    <x v="11"/>
    <d v="2025-01-13T00:00:00"/>
    <s v="M"/>
    <x v="4"/>
    <x v="1"/>
    <x v="0"/>
    <x v="8"/>
    <x v="3"/>
    <x v="2"/>
    <x v="1"/>
  </r>
  <r>
    <x v="263"/>
    <x v="9"/>
    <x v="0"/>
    <n v="33.5"/>
    <n v="33.5"/>
    <x v="11"/>
    <d v="2025-01-14T00:00:00"/>
    <s v="F"/>
    <x v="0"/>
    <x v="4"/>
    <x v="0"/>
    <x v="8"/>
    <x v="1"/>
    <x v="2"/>
    <x v="2"/>
  </r>
  <r>
    <x v="264"/>
    <x v="4"/>
    <x v="0"/>
    <n v="59.5"/>
    <n v="59.5"/>
    <x v="11"/>
    <d v="2025-01-12T00:00:00"/>
    <s v="M"/>
    <x v="0"/>
    <x v="2"/>
    <x v="0"/>
    <x v="18"/>
    <x v="7"/>
    <x v="2"/>
    <x v="1"/>
  </r>
  <r>
    <x v="265"/>
    <x v="17"/>
    <x v="12"/>
    <n v="23.5"/>
    <n v="94"/>
    <x v="11"/>
    <d v="2025-01-13T00:00:00"/>
    <s v="F"/>
    <x v="3"/>
    <x v="3"/>
    <x v="0"/>
    <x v="19"/>
    <x v="3"/>
    <x v="2"/>
    <x v="2"/>
  </r>
  <r>
    <x v="266"/>
    <x v="6"/>
    <x v="0"/>
    <n v="49.7"/>
    <n v="49.7"/>
    <x v="11"/>
    <d v="2025-01-13T00:00:00"/>
    <s v=""/>
    <x v="1"/>
    <x v="2"/>
    <x v="0"/>
    <x v="20"/>
    <x v="3"/>
    <x v="2"/>
    <x v="0"/>
  </r>
  <r>
    <x v="267"/>
    <x v="6"/>
    <x v="12"/>
    <n v="44.2"/>
    <n v="176.8"/>
    <x v="11"/>
    <d v="2025-01-15T00:00:00"/>
    <s v="F"/>
    <x v="0"/>
    <x v="2"/>
    <x v="0"/>
    <x v="21"/>
    <x v="2"/>
    <x v="2"/>
    <x v="2"/>
  </r>
  <r>
    <x v="268"/>
    <x v="8"/>
    <x v="0"/>
    <n v="22.1"/>
    <n v="22.1"/>
    <x v="11"/>
    <d v="2025-01-16T00:00:00"/>
    <s v="F"/>
    <x v="1"/>
    <x v="1"/>
    <x v="0"/>
    <x v="33"/>
    <x v="5"/>
    <x v="2"/>
    <x v="2"/>
  </r>
  <r>
    <x v="269"/>
    <x v="6"/>
    <x v="2"/>
    <n v="90.9"/>
    <n v="272.70000000000005"/>
    <x v="11"/>
    <d v="2025-01-13T00:00:00"/>
    <s v="F"/>
    <x v="2"/>
    <x v="4"/>
    <x v="0"/>
    <x v="3"/>
    <x v="3"/>
    <x v="2"/>
    <x v="2"/>
  </r>
  <r>
    <x v="270"/>
    <x v="8"/>
    <x v="2"/>
    <n v="44.5"/>
    <n v="133.5"/>
    <x v="11"/>
    <d v="2025-01-13T00:00:00"/>
    <s v="F"/>
    <x v="1"/>
    <x v="0"/>
    <x v="0"/>
    <x v="3"/>
    <x v="3"/>
    <x v="2"/>
    <x v="2"/>
  </r>
  <r>
    <x v="271"/>
    <x v="9"/>
    <x v="13"/>
    <n v="32.299999999999997"/>
    <n v="193.79999999999998"/>
    <x v="11"/>
    <d v="2025-01-16T00:00:00"/>
    <s v="F"/>
    <x v="0"/>
    <x v="0"/>
    <x v="0"/>
    <x v="3"/>
    <x v="5"/>
    <x v="2"/>
    <x v="2"/>
  </r>
  <r>
    <x v="272"/>
    <x v="17"/>
    <x v="2"/>
    <n v="87.5"/>
    <n v="262.5"/>
    <x v="11"/>
    <d v="2025-01-13T00:00:00"/>
    <s v="F"/>
    <x v="1"/>
    <x v="1"/>
    <x v="0"/>
    <x v="3"/>
    <x v="3"/>
    <x v="2"/>
    <x v="2"/>
  </r>
  <r>
    <x v="273"/>
    <x v="16"/>
    <x v="9"/>
    <n v="48.7"/>
    <n v="243.5"/>
    <x v="11"/>
    <d v="2025-01-13T00:00:00"/>
    <s v="M"/>
    <x v="2"/>
    <x v="0"/>
    <x v="0"/>
    <x v="3"/>
    <x v="3"/>
    <x v="2"/>
    <x v="1"/>
  </r>
  <r>
    <x v="274"/>
    <x v="0"/>
    <x v="9"/>
    <n v="22.5"/>
    <n v="112.5"/>
    <x v="11"/>
    <d v="2025-01-13T00:00:00"/>
    <s v="M"/>
    <x v="0"/>
    <x v="0"/>
    <x v="0"/>
    <x v="3"/>
    <x v="3"/>
    <x v="2"/>
    <x v="1"/>
  </r>
  <r>
    <x v="275"/>
    <x v="1"/>
    <x v="8"/>
    <n v="65.900000000000006"/>
    <n v="527.20000000000005"/>
    <x v="11"/>
    <d v="2025-01-15T00:00:00"/>
    <s v="F"/>
    <x v="1"/>
    <x v="2"/>
    <x v="0"/>
    <x v="3"/>
    <x v="2"/>
    <x v="2"/>
    <x v="2"/>
  </r>
  <r>
    <x v="276"/>
    <x v="6"/>
    <x v="9"/>
    <n v="41.9"/>
    <n v="209.5"/>
    <x v="11"/>
    <d v="2025-01-19T00:00:00"/>
    <s v=""/>
    <x v="0"/>
    <x v="0"/>
    <x v="0"/>
    <x v="3"/>
    <x v="6"/>
    <x v="2"/>
    <x v="0"/>
  </r>
  <r>
    <x v="277"/>
    <x v="1"/>
    <x v="9"/>
    <n v="67.5"/>
    <n v="337.5"/>
    <x v="11"/>
    <d v="2025-01-13T00:00:00"/>
    <s v="F"/>
    <x v="0"/>
    <x v="2"/>
    <x v="0"/>
    <x v="3"/>
    <x v="3"/>
    <x v="2"/>
    <x v="2"/>
  </r>
  <r>
    <x v="278"/>
    <x v="9"/>
    <x v="0"/>
    <n v="60.4"/>
    <n v="60.4"/>
    <x v="12"/>
    <d v="2025-01-15T00:00:00"/>
    <s v="F"/>
    <x v="1"/>
    <x v="1"/>
    <x v="0"/>
    <x v="3"/>
    <x v="1"/>
    <x v="2"/>
    <x v="2"/>
  </r>
  <r>
    <x v="279"/>
    <x v="1"/>
    <x v="3"/>
    <n v="30.4"/>
    <n v="212.79999999999998"/>
    <x v="12"/>
    <d v="2025-01-16T00:00:00"/>
    <s v="F"/>
    <x v="4"/>
    <x v="0"/>
    <x v="0"/>
    <x v="3"/>
    <x v="2"/>
    <x v="2"/>
    <x v="2"/>
  </r>
  <r>
    <x v="280"/>
    <x v="14"/>
    <x v="1"/>
    <n v="24.5"/>
    <n v="49"/>
    <x v="12"/>
    <d v="2025-01-14T00:00:00"/>
    <s v="M"/>
    <x v="3"/>
    <x v="2"/>
    <x v="0"/>
    <x v="3"/>
    <x v="3"/>
    <x v="2"/>
    <x v="1"/>
  </r>
  <r>
    <x v="281"/>
    <x v="2"/>
    <x v="2"/>
    <n v="105.9"/>
    <n v="317.70000000000005"/>
    <x v="12"/>
    <d v="2025-01-18T00:00:00"/>
    <s v="M"/>
    <x v="0"/>
    <x v="0"/>
    <x v="0"/>
    <x v="37"/>
    <x v="0"/>
    <x v="2"/>
    <x v="1"/>
  </r>
  <r>
    <x v="282"/>
    <x v="10"/>
    <x v="25"/>
    <n v="25.9"/>
    <n v="621.59999999999991"/>
    <x v="12"/>
    <d v="2025-01-14T00:00:00"/>
    <s v="F"/>
    <x v="4"/>
    <x v="0"/>
    <x v="0"/>
    <x v="23"/>
    <x v="3"/>
    <x v="2"/>
    <x v="2"/>
  </r>
  <r>
    <x v="283"/>
    <x v="6"/>
    <x v="2"/>
    <n v="66.8"/>
    <n v="200.39999999999998"/>
    <x v="12"/>
    <d v="2025-01-13T00:00:00"/>
    <s v="M"/>
    <x v="0"/>
    <x v="0"/>
    <x v="0"/>
    <x v="23"/>
    <x v="7"/>
    <x v="2"/>
    <x v="1"/>
  </r>
  <r>
    <x v="284"/>
    <x v="6"/>
    <x v="2"/>
    <n v="112.3"/>
    <n v="336.9"/>
    <x v="12"/>
    <d v="2025-01-14T00:00:00"/>
    <s v="M"/>
    <x v="2"/>
    <x v="4"/>
    <x v="0"/>
    <x v="6"/>
    <x v="3"/>
    <x v="2"/>
    <x v="1"/>
  </r>
  <r>
    <x v="285"/>
    <x v="1"/>
    <x v="13"/>
    <n v="94.1"/>
    <n v="564.59999999999991"/>
    <x v="12"/>
    <d v="2025-01-14T00:00:00"/>
    <s v="F"/>
    <x v="0"/>
    <x v="4"/>
    <x v="0"/>
    <x v="6"/>
    <x v="3"/>
    <x v="2"/>
    <x v="2"/>
  </r>
  <r>
    <x v="286"/>
    <x v="5"/>
    <x v="0"/>
    <n v="40.700000000000003"/>
    <n v="40.700000000000003"/>
    <x v="12"/>
    <d v="2025-01-16T00:00:00"/>
    <s v="F"/>
    <x v="2"/>
    <x v="0"/>
    <x v="0"/>
    <x v="6"/>
    <x v="2"/>
    <x v="2"/>
    <x v="2"/>
  </r>
  <r>
    <x v="287"/>
    <x v="3"/>
    <x v="1"/>
    <n v="71.400000000000006"/>
    <n v="142.80000000000001"/>
    <x v="12"/>
    <d v="2025-01-14T00:00:00"/>
    <s v="M"/>
    <x v="0"/>
    <x v="0"/>
    <x v="0"/>
    <x v="7"/>
    <x v="3"/>
    <x v="2"/>
    <x v="1"/>
  </r>
  <r>
    <x v="288"/>
    <x v="0"/>
    <x v="16"/>
    <n v="15.6"/>
    <n v="280.8"/>
    <x v="12"/>
    <d v="2025-01-14T00:00:00"/>
    <s v="M"/>
    <x v="1"/>
    <x v="3"/>
    <x v="0"/>
    <x v="8"/>
    <x v="3"/>
    <x v="2"/>
    <x v="1"/>
  </r>
  <r>
    <x v="289"/>
    <x v="10"/>
    <x v="12"/>
    <n v="37.799999999999997"/>
    <n v="151.19999999999999"/>
    <x v="12"/>
    <d v="2025-01-14T00:00:00"/>
    <s v="M"/>
    <x v="2"/>
    <x v="2"/>
    <x v="0"/>
    <x v="8"/>
    <x v="3"/>
    <x v="2"/>
    <x v="1"/>
  </r>
  <r>
    <x v="290"/>
    <x v="4"/>
    <x v="2"/>
    <n v="28.1"/>
    <n v="84.300000000000011"/>
    <x v="12"/>
    <d v="2025-01-17T00:00:00"/>
    <s v="M"/>
    <x v="0"/>
    <x v="0"/>
    <x v="0"/>
    <x v="8"/>
    <x v="5"/>
    <x v="2"/>
    <x v="1"/>
  </r>
  <r>
    <x v="291"/>
    <x v="7"/>
    <x v="13"/>
    <n v="51.4"/>
    <n v="308.39999999999998"/>
    <x v="12"/>
    <d v="2025-01-17T00:00:00"/>
    <s v="M"/>
    <x v="0"/>
    <x v="0"/>
    <x v="0"/>
    <x v="8"/>
    <x v="5"/>
    <x v="2"/>
    <x v="1"/>
  </r>
  <r>
    <x v="292"/>
    <x v="7"/>
    <x v="1"/>
    <n v="97.7"/>
    <n v="195.4"/>
    <x v="12"/>
    <d v="2025-01-15T00:00:00"/>
    <s v="F"/>
    <x v="4"/>
    <x v="2"/>
    <x v="0"/>
    <x v="17"/>
    <x v="1"/>
    <x v="2"/>
    <x v="2"/>
  </r>
  <r>
    <x v="293"/>
    <x v="1"/>
    <x v="12"/>
    <n v="63.8"/>
    <n v="255.2"/>
    <x v="12"/>
    <d v="2025-01-14T00:00:00"/>
    <s v="M"/>
    <x v="2"/>
    <x v="0"/>
    <x v="0"/>
    <x v="38"/>
    <x v="3"/>
    <x v="2"/>
    <x v="1"/>
  </r>
  <r>
    <x v="294"/>
    <x v="13"/>
    <x v="1"/>
    <n v="20.100000000000001"/>
    <n v="40.200000000000003"/>
    <x v="12"/>
    <d v="2025-01-15T00:00:00"/>
    <s v="M"/>
    <x v="0"/>
    <x v="2"/>
    <x v="0"/>
    <x v="20"/>
    <x v="1"/>
    <x v="2"/>
    <x v="1"/>
  </r>
  <r>
    <x v="295"/>
    <x v="11"/>
    <x v="2"/>
    <n v="50.4"/>
    <n v="151.19999999999999"/>
    <x v="12"/>
    <d v="2025-01-16T00:00:00"/>
    <s v="F"/>
    <x v="3"/>
    <x v="0"/>
    <x v="0"/>
    <x v="13"/>
    <x v="2"/>
    <x v="2"/>
    <x v="2"/>
  </r>
  <r>
    <x v="296"/>
    <x v="0"/>
    <x v="0"/>
    <n v="16.2"/>
    <n v="16.2"/>
    <x v="12"/>
    <d v="2025-01-26T00:00:00"/>
    <s v="F"/>
    <x v="1"/>
    <x v="0"/>
    <x v="0"/>
    <x v="1"/>
    <x v="10"/>
    <x v="2"/>
    <x v="2"/>
  </r>
  <r>
    <x v="297"/>
    <x v="6"/>
    <x v="3"/>
    <n v="80.900000000000006"/>
    <n v="566.30000000000007"/>
    <x v="12"/>
    <d v="2025-01-15T00:00:00"/>
    <s v="M"/>
    <x v="4"/>
    <x v="4"/>
    <x v="0"/>
    <x v="2"/>
    <x v="1"/>
    <x v="2"/>
    <x v="1"/>
  </r>
  <r>
    <x v="298"/>
    <x v="9"/>
    <x v="13"/>
    <n v="95.2"/>
    <n v="571.20000000000005"/>
    <x v="12"/>
    <d v="2025-01-15T00:00:00"/>
    <s v="F"/>
    <x v="0"/>
    <x v="2"/>
    <x v="0"/>
    <x v="2"/>
    <x v="1"/>
    <x v="2"/>
    <x v="2"/>
  </r>
  <r>
    <x v="299"/>
    <x v="5"/>
    <x v="8"/>
    <n v="70.400000000000006"/>
    <n v="563.20000000000005"/>
    <x v="12"/>
    <d v="2025-01-14T00:00:00"/>
    <s v="M"/>
    <x v="1"/>
    <x v="1"/>
    <x v="0"/>
    <x v="3"/>
    <x v="3"/>
    <x v="2"/>
    <x v="1"/>
  </r>
  <r>
    <x v="300"/>
    <x v="0"/>
    <x v="9"/>
    <n v="10.7"/>
    <n v="53.5"/>
    <x v="12"/>
    <d v="2025-01-17T00:00:00"/>
    <s v="F"/>
    <x v="2"/>
    <x v="0"/>
    <x v="0"/>
    <x v="3"/>
    <x v="5"/>
    <x v="2"/>
    <x v="2"/>
  </r>
  <r>
    <x v="301"/>
    <x v="8"/>
    <x v="9"/>
    <n v="19.600000000000001"/>
    <n v="98"/>
    <x v="12"/>
    <d v="2025-01-15T00:00:00"/>
    <s v="F"/>
    <x v="0"/>
    <x v="3"/>
    <x v="0"/>
    <x v="3"/>
    <x v="1"/>
    <x v="2"/>
    <x v="2"/>
  </r>
  <r>
    <x v="302"/>
    <x v="8"/>
    <x v="5"/>
    <n v="34.700000000000003"/>
    <n v="381.70000000000005"/>
    <x v="12"/>
    <d v="2025-01-15T00:00:00"/>
    <s v="F"/>
    <x v="0"/>
    <x v="2"/>
    <x v="0"/>
    <x v="3"/>
    <x v="1"/>
    <x v="2"/>
    <x v="2"/>
  </r>
  <r>
    <x v="303"/>
    <x v="10"/>
    <x v="11"/>
    <n v="34.1"/>
    <n v="306.90000000000003"/>
    <x v="12"/>
    <d v="2025-01-14T00:00:00"/>
    <s v="F"/>
    <x v="4"/>
    <x v="1"/>
    <x v="0"/>
    <x v="3"/>
    <x v="3"/>
    <x v="2"/>
    <x v="2"/>
  </r>
  <r>
    <x v="304"/>
    <x v="0"/>
    <x v="26"/>
    <n v="29.3"/>
    <n v="1435.7"/>
    <x v="12"/>
    <d v="2025-01-13T00:00:00"/>
    <s v="M"/>
    <x v="0"/>
    <x v="1"/>
    <x v="0"/>
    <x v="3"/>
    <x v="7"/>
    <x v="2"/>
    <x v="1"/>
  </r>
  <r>
    <x v="305"/>
    <x v="1"/>
    <x v="0"/>
    <n v="55.2"/>
    <n v="55.2"/>
    <x v="12"/>
    <d v="2025-01-14T00:00:00"/>
    <s v="F"/>
    <x v="0"/>
    <x v="1"/>
    <x v="0"/>
    <x v="3"/>
    <x v="3"/>
    <x v="2"/>
    <x v="2"/>
  </r>
  <r>
    <x v="306"/>
    <x v="18"/>
    <x v="2"/>
    <n v="26"/>
    <n v="78"/>
    <x v="12"/>
    <d v="2025-01-16T00:00:00"/>
    <s v="F"/>
    <x v="0"/>
    <x v="2"/>
    <x v="0"/>
    <x v="3"/>
    <x v="2"/>
    <x v="2"/>
    <x v="2"/>
  </r>
  <r>
    <x v="307"/>
    <x v="14"/>
    <x v="1"/>
    <n v="14.2"/>
    <n v="28.4"/>
    <x v="12"/>
    <d v="2025-01-18T00:00:00"/>
    <s v="F"/>
    <x v="3"/>
    <x v="0"/>
    <x v="0"/>
    <x v="39"/>
    <x v="0"/>
    <x v="2"/>
    <x v="2"/>
  </r>
  <r>
    <x v="308"/>
    <x v="8"/>
    <x v="11"/>
    <n v="22.7"/>
    <n v="204.29999999999998"/>
    <x v="13"/>
    <d v="2025-01-15T00:00:00"/>
    <s v="M"/>
    <x v="1"/>
    <x v="0"/>
    <x v="0"/>
    <x v="6"/>
    <x v="3"/>
    <x v="2"/>
    <x v="1"/>
  </r>
  <r>
    <x v="309"/>
    <x v="0"/>
    <x v="20"/>
    <n v="19.8"/>
    <n v="297"/>
    <x v="13"/>
    <d v="2025-01-14T00:00:00"/>
    <s v="F"/>
    <x v="0"/>
    <x v="2"/>
    <x v="0"/>
    <x v="6"/>
    <x v="7"/>
    <x v="2"/>
    <x v="2"/>
  </r>
  <r>
    <x v="310"/>
    <x v="0"/>
    <x v="2"/>
    <n v="31.7"/>
    <n v="95.1"/>
    <x v="13"/>
    <d v="2025-01-15T00:00:00"/>
    <s v="M"/>
    <x v="2"/>
    <x v="0"/>
    <x v="0"/>
    <x v="6"/>
    <x v="3"/>
    <x v="2"/>
    <x v="1"/>
  </r>
  <r>
    <x v="311"/>
    <x v="8"/>
    <x v="12"/>
    <n v="30.4"/>
    <n v="121.6"/>
    <x v="13"/>
    <d v="2025-01-18T00:00:00"/>
    <s v="M"/>
    <x v="0"/>
    <x v="0"/>
    <x v="0"/>
    <x v="6"/>
    <x v="5"/>
    <x v="2"/>
    <x v="1"/>
  </r>
  <r>
    <x v="312"/>
    <x v="0"/>
    <x v="12"/>
    <n v="25.6"/>
    <n v="102.4"/>
    <x v="13"/>
    <d v="2025-01-15T00:00:00"/>
    <s v="M"/>
    <x v="3"/>
    <x v="0"/>
    <x v="0"/>
    <x v="8"/>
    <x v="3"/>
    <x v="2"/>
    <x v="1"/>
  </r>
  <r>
    <x v="313"/>
    <x v="5"/>
    <x v="1"/>
    <n v="34.9"/>
    <n v="69.8"/>
    <x v="13"/>
    <d v="2025-01-15T00:00:00"/>
    <s v="F"/>
    <x v="2"/>
    <x v="0"/>
    <x v="0"/>
    <x v="9"/>
    <x v="3"/>
    <x v="2"/>
    <x v="2"/>
  </r>
  <r>
    <x v="314"/>
    <x v="7"/>
    <x v="13"/>
    <n v="42.7"/>
    <n v="256.20000000000005"/>
    <x v="13"/>
    <d v="2025-01-17T00:00:00"/>
    <s v="M"/>
    <x v="2"/>
    <x v="1"/>
    <x v="0"/>
    <x v="11"/>
    <x v="2"/>
    <x v="2"/>
    <x v="1"/>
  </r>
  <r>
    <x v="315"/>
    <x v="8"/>
    <x v="0"/>
    <n v="23.9"/>
    <n v="23.9"/>
    <x v="13"/>
    <d v="2025-01-16T00:00:00"/>
    <s v="F"/>
    <x v="3"/>
    <x v="0"/>
    <x v="0"/>
    <x v="11"/>
    <x v="1"/>
    <x v="2"/>
    <x v="2"/>
  </r>
  <r>
    <x v="316"/>
    <x v="6"/>
    <x v="0"/>
    <n v="124.3"/>
    <n v="124.3"/>
    <x v="13"/>
    <d v="2025-01-15T00:00:00"/>
    <s v=""/>
    <x v="2"/>
    <x v="1"/>
    <x v="0"/>
    <x v="21"/>
    <x v="3"/>
    <x v="2"/>
    <x v="0"/>
  </r>
  <r>
    <x v="317"/>
    <x v="8"/>
    <x v="13"/>
    <n v="35.9"/>
    <n v="215.39999999999998"/>
    <x v="13"/>
    <d v="2025-01-15T00:00:00"/>
    <s v="F"/>
    <x v="0"/>
    <x v="1"/>
    <x v="0"/>
    <x v="1"/>
    <x v="3"/>
    <x v="2"/>
    <x v="2"/>
  </r>
  <r>
    <x v="318"/>
    <x v="2"/>
    <x v="1"/>
    <n v="69.099999999999994"/>
    <n v="138.19999999999999"/>
    <x v="13"/>
    <d v="2025-01-17T00:00:00"/>
    <s v="F"/>
    <x v="0"/>
    <x v="2"/>
    <x v="0"/>
    <x v="22"/>
    <x v="2"/>
    <x v="2"/>
    <x v="2"/>
  </r>
  <r>
    <x v="319"/>
    <x v="7"/>
    <x v="0"/>
    <n v="58.4"/>
    <n v="58.4"/>
    <x v="13"/>
    <d v="2025-01-18T00:00:00"/>
    <s v="M"/>
    <x v="0"/>
    <x v="0"/>
    <x v="0"/>
    <x v="22"/>
    <x v="5"/>
    <x v="2"/>
    <x v="1"/>
  </r>
  <r>
    <x v="320"/>
    <x v="5"/>
    <x v="0"/>
    <n v="65.2"/>
    <n v="65.2"/>
    <x v="13"/>
    <d v="2025-01-16T00:00:00"/>
    <s v="O"/>
    <x v="4"/>
    <x v="4"/>
    <x v="0"/>
    <x v="3"/>
    <x v="1"/>
    <x v="2"/>
    <x v="3"/>
  </r>
  <r>
    <x v="321"/>
    <x v="8"/>
    <x v="14"/>
    <n v="32.700000000000003"/>
    <n v="555.90000000000009"/>
    <x v="13"/>
    <d v="2025-01-21T00:00:00"/>
    <s v=""/>
    <x v="4"/>
    <x v="0"/>
    <x v="0"/>
    <x v="3"/>
    <x v="6"/>
    <x v="2"/>
    <x v="0"/>
  </r>
  <r>
    <x v="322"/>
    <x v="10"/>
    <x v="3"/>
    <n v="24.4"/>
    <n v="170.79999999999998"/>
    <x v="13"/>
    <d v="2025-01-15T00:00:00"/>
    <s v="F"/>
    <x v="0"/>
    <x v="0"/>
    <x v="0"/>
    <x v="3"/>
    <x v="3"/>
    <x v="2"/>
    <x v="2"/>
  </r>
  <r>
    <x v="323"/>
    <x v="14"/>
    <x v="1"/>
    <n v="50.4"/>
    <n v="100.8"/>
    <x v="13"/>
    <d v="2025-01-20T00:00:00"/>
    <s v="M"/>
    <x v="0"/>
    <x v="1"/>
    <x v="0"/>
    <x v="3"/>
    <x v="4"/>
    <x v="2"/>
    <x v="1"/>
  </r>
  <r>
    <x v="324"/>
    <x v="1"/>
    <x v="1"/>
    <n v="100"/>
    <n v="200"/>
    <x v="13"/>
    <d v="2025-01-15T00:00:00"/>
    <s v="F"/>
    <x v="0"/>
    <x v="0"/>
    <x v="0"/>
    <x v="3"/>
    <x v="3"/>
    <x v="2"/>
    <x v="2"/>
  </r>
  <r>
    <x v="325"/>
    <x v="10"/>
    <x v="2"/>
    <n v="43"/>
    <n v="129"/>
    <x v="14"/>
    <d v="2025-01-15T00:00:00"/>
    <s v="F"/>
    <x v="2"/>
    <x v="1"/>
    <x v="0"/>
    <x v="3"/>
    <x v="7"/>
    <x v="2"/>
    <x v="2"/>
  </r>
  <r>
    <x v="326"/>
    <x v="1"/>
    <x v="9"/>
    <n v="64.400000000000006"/>
    <n v="322"/>
    <x v="14"/>
    <d v="2025-01-17T00:00:00"/>
    <s v="M"/>
    <x v="2"/>
    <x v="1"/>
    <x v="0"/>
    <x v="3"/>
    <x v="1"/>
    <x v="2"/>
    <x v="1"/>
  </r>
  <r>
    <x v="327"/>
    <x v="18"/>
    <x v="1"/>
    <n v="57.4"/>
    <n v="114.8"/>
    <x v="14"/>
    <d v="2025-01-16T00:00:00"/>
    <s v="M"/>
    <x v="2"/>
    <x v="1"/>
    <x v="0"/>
    <x v="3"/>
    <x v="3"/>
    <x v="2"/>
    <x v="1"/>
  </r>
  <r>
    <x v="328"/>
    <x v="2"/>
    <x v="2"/>
    <n v="55.1"/>
    <n v="165.3"/>
    <x v="14"/>
    <d v="2025-01-18T00:00:00"/>
    <s v="F"/>
    <x v="1"/>
    <x v="0"/>
    <x v="0"/>
    <x v="3"/>
    <x v="2"/>
    <x v="2"/>
    <x v="2"/>
  </r>
  <r>
    <x v="329"/>
    <x v="7"/>
    <x v="12"/>
    <n v="45.4"/>
    <n v="181.6"/>
    <x v="14"/>
    <d v="2025-01-16T00:00:00"/>
    <s v="F"/>
    <x v="1"/>
    <x v="0"/>
    <x v="0"/>
    <x v="3"/>
    <x v="3"/>
    <x v="2"/>
    <x v="2"/>
  </r>
  <r>
    <x v="330"/>
    <x v="3"/>
    <x v="2"/>
    <n v="93.3"/>
    <n v="279.89999999999998"/>
    <x v="14"/>
    <d v="2025-01-16T00:00:00"/>
    <s v="F"/>
    <x v="0"/>
    <x v="0"/>
    <x v="0"/>
    <x v="40"/>
    <x v="3"/>
    <x v="2"/>
    <x v="2"/>
  </r>
  <r>
    <x v="331"/>
    <x v="2"/>
    <x v="10"/>
    <n v="158.19999999999999"/>
    <n v="3005.7999999999997"/>
    <x v="14"/>
    <d v="2025-01-16T00:00:00"/>
    <s v="F"/>
    <x v="1"/>
    <x v="2"/>
    <x v="0"/>
    <x v="16"/>
    <x v="3"/>
    <x v="2"/>
    <x v="2"/>
  </r>
  <r>
    <x v="332"/>
    <x v="2"/>
    <x v="1"/>
    <n v="74.900000000000006"/>
    <n v="149.80000000000001"/>
    <x v="14"/>
    <d v="2025-01-17T00:00:00"/>
    <s v="M"/>
    <x v="3"/>
    <x v="0"/>
    <x v="0"/>
    <x v="6"/>
    <x v="1"/>
    <x v="2"/>
    <x v="1"/>
  </r>
  <r>
    <x v="333"/>
    <x v="8"/>
    <x v="3"/>
    <n v="26"/>
    <n v="182"/>
    <x v="14"/>
    <d v="2025-01-18T00:00:00"/>
    <s v="F"/>
    <x v="1"/>
    <x v="0"/>
    <x v="0"/>
    <x v="8"/>
    <x v="2"/>
    <x v="2"/>
    <x v="2"/>
  </r>
  <r>
    <x v="334"/>
    <x v="9"/>
    <x v="13"/>
    <n v="37.5"/>
    <n v="225"/>
    <x v="14"/>
    <d v="2025-01-16T00:00:00"/>
    <s v="F"/>
    <x v="0"/>
    <x v="1"/>
    <x v="0"/>
    <x v="8"/>
    <x v="3"/>
    <x v="2"/>
    <x v="2"/>
  </r>
  <r>
    <x v="335"/>
    <x v="6"/>
    <x v="1"/>
    <n v="75.8"/>
    <n v="151.6"/>
    <x v="14"/>
    <d v="2025-01-21T00:00:00"/>
    <s v="M"/>
    <x v="0"/>
    <x v="0"/>
    <x v="0"/>
    <x v="8"/>
    <x v="4"/>
    <x v="2"/>
    <x v="1"/>
  </r>
  <r>
    <x v="336"/>
    <x v="7"/>
    <x v="0"/>
    <n v="48.5"/>
    <n v="48.5"/>
    <x v="14"/>
    <d v="2025-01-27T00:00:00"/>
    <s v=""/>
    <x v="4"/>
    <x v="2"/>
    <x v="0"/>
    <x v="8"/>
    <x v="13"/>
    <x v="2"/>
    <x v="0"/>
  </r>
  <r>
    <x v="337"/>
    <x v="6"/>
    <x v="2"/>
    <n v="98.9"/>
    <n v="296.70000000000005"/>
    <x v="14"/>
    <d v="2025-01-17T00:00:00"/>
    <s v="F"/>
    <x v="4"/>
    <x v="1"/>
    <x v="0"/>
    <x v="8"/>
    <x v="1"/>
    <x v="2"/>
    <x v="2"/>
  </r>
  <r>
    <x v="338"/>
    <x v="1"/>
    <x v="4"/>
    <n v="50.9"/>
    <n v="610.79999999999995"/>
    <x v="14"/>
    <d v="2025-01-15T00:00:00"/>
    <s v="M"/>
    <x v="4"/>
    <x v="0"/>
    <x v="0"/>
    <x v="8"/>
    <x v="7"/>
    <x v="2"/>
    <x v="1"/>
  </r>
  <r>
    <x v="339"/>
    <x v="12"/>
    <x v="13"/>
    <n v="84.7"/>
    <n v="508.20000000000005"/>
    <x v="14"/>
    <d v="2025-01-15T00:00:00"/>
    <s v="F"/>
    <x v="2"/>
    <x v="0"/>
    <x v="0"/>
    <x v="8"/>
    <x v="7"/>
    <x v="2"/>
    <x v="2"/>
  </r>
  <r>
    <x v="340"/>
    <x v="8"/>
    <x v="0"/>
    <n v="20.7"/>
    <n v="20.7"/>
    <x v="14"/>
    <d v="2025-01-17T00:00:00"/>
    <s v="F"/>
    <x v="3"/>
    <x v="2"/>
    <x v="0"/>
    <x v="8"/>
    <x v="1"/>
    <x v="2"/>
    <x v="2"/>
  </r>
  <r>
    <x v="341"/>
    <x v="12"/>
    <x v="11"/>
    <n v="57.8"/>
    <n v="520.19999999999993"/>
    <x v="14"/>
    <d v="2025-01-26T00:00:00"/>
    <s v="M"/>
    <x v="0"/>
    <x v="4"/>
    <x v="0"/>
    <x v="17"/>
    <x v="11"/>
    <x v="2"/>
    <x v="1"/>
  </r>
  <r>
    <x v="342"/>
    <x v="2"/>
    <x v="1"/>
    <n v="106.9"/>
    <n v="213.8"/>
    <x v="14"/>
    <d v="2025-01-17T00:00:00"/>
    <s v="F"/>
    <x v="0"/>
    <x v="2"/>
    <x v="0"/>
    <x v="41"/>
    <x v="1"/>
    <x v="2"/>
    <x v="2"/>
  </r>
  <r>
    <x v="343"/>
    <x v="3"/>
    <x v="9"/>
    <n v="45.2"/>
    <n v="226"/>
    <x v="14"/>
    <d v="2025-01-19T00:00:00"/>
    <s v="F"/>
    <x v="1"/>
    <x v="0"/>
    <x v="0"/>
    <x v="21"/>
    <x v="5"/>
    <x v="2"/>
    <x v="2"/>
  </r>
  <r>
    <x v="344"/>
    <x v="8"/>
    <x v="15"/>
    <n v="34.6"/>
    <n v="449.8"/>
    <x v="14"/>
    <d v="2025-01-15T00:00:00"/>
    <s v="F"/>
    <x v="1"/>
    <x v="1"/>
    <x v="0"/>
    <x v="21"/>
    <x v="7"/>
    <x v="2"/>
    <x v="2"/>
  </r>
  <r>
    <x v="345"/>
    <x v="15"/>
    <x v="0"/>
    <n v="43.8"/>
    <n v="43.8"/>
    <x v="14"/>
    <d v="2025-01-17T00:00:00"/>
    <s v=""/>
    <x v="0"/>
    <x v="2"/>
    <x v="0"/>
    <x v="21"/>
    <x v="1"/>
    <x v="2"/>
    <x v="0"/>
  </r>
  <r>
    <x v="346"/>
    <x v="15"/>
    <x v="0"/>
    <n v="20.399999999999999"/>
    <n v="20.399999999999999"/>
    <x v="14"/>
    <d v="2025-01-17T00:00:00"/>
    <s v="M"/>
    <x v="4"/>
    <x v="1"/>
    <x v="0"/>
    <x v="21"/>
    <x v="1"/>
    <x v="2"/>
    <x v="1"/>
  </r>
  <r>
    <x v="347"/>
    <x v="1"/>
    <x v="0"/>
    <n v="36.700000000000003"/>
    <n v="36.700000000000003"/>
    <x v="14"/>
    <d v="2025-01-16T00:00:00"/>
    <s v="M"/>
    <x v="0"/>
    <x v="1"/>
    <x v="0"/>
    <x v="1"/>
    <x v="3"/>
    <x v="2"/>
    <x v="1"/>
  </r>
  <r>
    <x v="348"/>
    <x v="8"/>
    <x v="2"/>
    <n v="27.2"/>
    <n v="81.599999999999994"/>
    <x v="14"/>
    <d v="2025-01-19T00:00:00"/>
    <s v="M"/>
    <x v="0"/>
    <x v="2"/>
    <x v="0"/>
    <x v="1"/>
    <x v="5"/>
    <x v="2"/>
    <x v="1"/>
  </r>
  <r>
    <x v="349"/>
    <x v="6"/>
    <x v="0"/>
    <n v="58.2"/>
    <n v="58.2"/>
    <x v="14"/>
    <d v="2025-01-16T00:00:00"/>
    <s v="F"/>
    <x v="0"/>
    <x v="2"/>
    <x v="0"/>
    <x v="42"/>
    <x v="3"/>
    <x v="2"/>
    <x v="2"/>
  </r>
  <r>
    <x v="350"/>
    <x v="8"/>
    <x v="2"/>
    <n v="25.6"/>
    <n v="76.800000000000011"/>
    <x v="14"/>
    <d v="2025-01-16T00:00:00"/>
    <s v="M"/>
    <x v="4"/>
    <x v="4"/>
    <x v="0"/>
    <x v="2"/>
    <x v="3"/>
    <x v="2"/>
    <x v="1"/>
  </r>
  <r>
    <x v="351"/>
    <x v="10"/>
    <x v="0"/>
    <n v="21.2"/>
    <n v="21.2"/>
    <x v="14"/>
    <d v="2025-01-15T00:00:00"/>
    <s v="F"/>
    <x v="1"/>
    <x v="2"/>
    <x v="0"/>
    <x v="3"/>
    <x v="7"/>
    <x v="2"/>
    <x v="2"/>
  </r>
  <r>
    <x v="352"/>
    <x v="6"/>
    <x v="1"/>
    <n v="48.2"/>
    <n v="96.4"/>
    <x v="14"/>
    <d v="2025-01-23T00:00:00"/>
    <s v="F"/>
    <x v="0"/>
    <x v="2"/>
    <x v="0"/>
    <x v="3"/>
    <x v="9"/>
    <x v="2"/>
    <x v="2"/>
  </r>
  <r>
    <x v="353"/>
    <x v="1"/>
    <x v="12"/>
    <n v="83.4"/>
    <n v="333.6"/>
    <x v="15"/>
    <d v="2025-01-17T00:00:00"/>
    <s v="M"/>
    <x v="0"/>
    <x v="0"/>
    <x v="0"/>
    <x v="3"/>
    <x v="3"/>
    <x v="2"/>
    <x v="1"/>
  </r>
  <r>
    <x v="354"/>
    <x v="9"/>
    <x v="2"/>
    <n v="45.3"/>
    <n v="135.89999999999998"/>
    <x v="15"/>
    <d v="2025-01-22T00:00:00"/>
    <s v="M"/>
    <x v="2"/>
    <x v="1"/>
    <x v="0"/>
    <x v="3"/>
    <x v="4"/>
    <x v="2"/>
    <x v="1"/>
  </r>
  <r>
    <x v="355"/>
    <x v="17"/>
    <x v="0"/>
    <n v="42"/>
    <n v="42"/>
    <x v="15"/>
    <d v="2025-01-17T00:00:00"/>
    <s v=""/>
    <x v="0"/>
    <x v="0"/>
    <x v="0"/>
    <x v="3"/>
    <x v="3"/>
    <x v="2"/>
    <x v="0"/>
  </r>
  <r>
    <x v="356"/>
    <x v="0"/>
    <x v="11"/>
    <n v="21.8"/>
    <n v="196.20000000000002"/>
    <x v="15"/>
    <d v="2025-01-18T00:00:00"/>
    <s v="F"/>
    <x v="1"/>
    <x v="0"/>
    <x v="0"/>
    <x v="3"/>
    <x v="1"/>
    <x v="2"/>
    <x v="2"/>
  </r>
  <r>
    <x v="357"/>
    <x v="8"/>
    <x v="16"/>
    <n v="21.4"/>
    <n v="385.2"/>
    <x v="15"/>
    <d v="2025-01-19T00:00:00"/>
    <s v="F"/>
    <x v="1"/>
    <x v="2"/>
    <x v="0"/>
    <x v="3"/>
    <x v="2"/>
    <x v="2"/>
    <x v="2"/>
  </r>
  <r>
    <x v="358"/>
    <x v="10"/>
    <x v="2"/>
    <n v="45"/>
    <n v="135"/>
    <x v="15"/>
    <d v="2025-01-16T00:00:00"/>
    <s v="F"/>
    <x v="1"/>
    <x v="2"/>
    <x v="0"/>
    <x v="3"/>
    <x v="7"/>
    <x v="2"/>
    <x v="2"/>
  </r>
  <r>
    <x v="359"/>
    <x v="14"/>
    <x v="0"/>
    <n v="39.6"/>
    <n v="39.6"/>
    <x v="15"/>
    <d v="2025-01-17T00:00:00"/>
    <s v="M"/>
    <x v="0"/>
    <x v="2"/>
    <x v="0"/>
    <x v="3"/>
    <x v="3"/>
    <x v="2"/>
    <x v="1"/>
  </r>
  <r>
    <x v="360"/>
    <x v="12"/>
    <x v="2"/>
    <n v="79.8"/>
    <n v="239.39999999999998"/>
    <x v="15"/>
    <d v="2025-01-22T00:00:00"/>
    <s v="F"/>
    <x v="1"/>
    <x v="4"/>
    <x v="0"/>
    <x v="3"/>
    <x v="4"/>
    <x v="2"/>
    <x v="2"/>
  </r>
  <r>
    <x v="361"/>
    <x v="1"/>
    <x v="12"/>
    <n v="63.6"/>
    <n v="254.4"/>
    <x v="15"/>
    <d v="2025-01-17T00:00:00"/>
    <s v="O"/>
    <x v="0"/>
    <x v="2"/>
    <x v="0"/>
    <x v="24"/>
    <x v="3"/>
    <x v="2"/>
    <x v="3"/>
  </r>
  <r>
    <x v="362"/>
    <x v="7"/>
    <x v="7"/>
    <n v="92.7"/>
    <n v="927"/>
    <x v="15"/>
    <d v="2025-01-20T00:00:00"/>
    <s v="M"/>
    <x v="1"/>
    <x v="2"/>
    <x v="0"/>
    <x v="6"/>
    <x v="5"/>
    <x v="2"/>
    <x v="1"/>
  </r>
  <r>
    <x v="363"/>
    <x v="1"/>
    <x v="12"/>
    <n v="48.4"/>
    <n v="193.6"/>
    <x v="15"/>
    <d v="2025-01-18T00:00:00"/>
    <s v="F"/>
    <x v="1"/>
    <x v="2"/>
    <x v="0"/>
    <x v="6"/>
    <x v="1"/>
    <x v="2"/>
    <x v="2"/>
  </r>
  <r>
    <x v="364"/>
    <x v="9"/>
    <x v="8"/>
    <n v="36"/>
    <n v="288"/>
    <x v="15"/>
    <d v="2025-01-19T00:00:00"/>
    <s v="M"/>
    <x v="2"/>
    <x v="2"/>
    <x v="0"/>
    <x v="8"/>
    <x v="2"/>
    <x v="2"/>
    <x v="1"/>
  </r>
  <r>
    <x v="365"/>
    <x v="8"/>
    <x v="4"/>
    <n v="27"/>
    <n v="324"/>
    <x v="15"/>
    <d v="2025-01-18T00:00:00"/>
    <s v="F"/>
    <x v="2"/>
    <x v="1"/>
    <x v="0"/>
    <x v="8"/>
    <x v="1"/>
    <x v="2"/>
    <x v="2"/>
  </r>
  <r>
    <x v="366"/>
    <x v="2"/>
    <x v="8"/>
    <n v="53.9"/>
    <n v="431.2"/>
    <x v="15"/>
    <d v="2025-01-17T00:00:00"/>
    <s v=""/>
    <x v="0"/>
    <x v="0"/>
    <x v="0"/>
    <x v="8"/>
    <x v="3"/>
    <x v="2"/>
    <x v="0"/>
  </r>
  <r>
    <x v="367"/>
    <x v="3"/>
    <x v="11"/>
    <n v="48.4"/>
    <n v="435.59999999999997"/>
    <x v="15"/>
    <d v="2025-01-17T00:00:00"/>
    <s v="F"/>
    <x v="1"/>
    <x v="0"/>
    <x v="0"/>
    <x v="9"/>
    <x v="3"/>
    <x v="2"/>
    <x v="2"/>
  </r>
  <r>
    <x v="368"/>
    <x v="17"/>
    <x v="1"/>
    <n v="49.9"/>
    <n v="99.8"/>
    <x v="15"/>
    <d v="2025-01-21T00:00:00"/>
    <s v="M"/>
    <x v="4"/>
    <x v="4"/>
    <x v="0"/>
    <x v="10"/>
    <x v="0"/>
    <x v="2"/>
    <x v="1"/>
  </r>
  <r>
    <x v="369"/>
    <x v="1"/>
    <x v="2"/>
    <n v="51.7"/>
    <n v="155.10000000000002"/>
    <x v="15"/>
    <d v="2025-01-17T00:00:00"/>
    <s v="F"/>
    <x v="0"/>
    <x v="2"/>
    <x v="0"/>
    <x v="11"/>
    <x v="3"/>
    <x v="2"/>
    <x v="2"/>
  </r>
  <r>
    <x v="370"/>
    <x v="8"/>
    <x v="2"/>
    <n v="41.8"/>
    <n v="125.39999999999999"/>
    <x v="15"/>
    <d v="2025-01-18T00:00:00"/>
    <s v="F"/>
    <x v="2"/>
    <x v="0"/>
    <x v="0"/>
    <x v="18"/>
    <x v="1"/>
    <x v="2"/>
    <x v="2"/>
  </r>
  <r>
    <x v="371"/>
    <x v="4"/>
    <x v="12"/>
    <n v="36.200000000000003"/>
    <n v="144.80000000000001"/>
    <x v="16"/>
    <d v="2025-01-18T00:00:00"/>
    <s v="M"/>
    <x v="2"/>
    <x v="2"/>
    <x v="0"/>
    <x v="21"/>
    <x v="3"/>
    <x v="2"/>
    <x v="1"/>
  </r>
  <r>
    <x v="372"/>
    <x v="2"/>
    <x v="0"/>
    <n v="150.9"/>
    <n v="150.9"/>
    <x v="16"/>
    <d v="2025-01-27T00:00:00"/>
    <s v="M"/>
    <x v="0"/>
    <x v="0"/>
    <x v="0"/>
    <x v="1"/>
    <x v="14"/>
    <x v="2"/>
    <x v="1"/>
  </r>
  <r>
    <x v="373"/>
    <x v="18"/>
    <x v="12"/>
    <n v="77.599999999999994"/>
    <n v="310.39999999999998"/>
    <x v="16"/>
    <d v="2025-01-18T00:00:00"/>
    <s v=""/>
    <x v="2"/>
    <x v="0"/>
    <x v="0"/>
    <x v="3"/>
    <x v="3"/>
    <x v="2"/>
    <x v="0"/>
  </r>
  <r>
    <x v="374"/>
    <x v="13"/>
    <x v="9"/>
    <n v="65.5"/>
    <n v="327.5"/>
    <x v="16"/>
    <d v="2025-01-17T00:00:00"/>
    <s v="M"/>
    <x v="1"/>
    <x v="0"/>
    <x v="0"/>
    <x v="3"/>
    <x v="7"/>
    <x v="2"/>
    <x v="1"/>
  </r>
  <r>
    <x v="375"/>
    <x v="6"/>
    <x v="2"/>
    <n v="90.1"/>
    <n v="270.29999999999995"/>
    <x v="16"/>
    <d v="2025-01-19T00:00:00"/>
    <s v="F"/>
    <x v="0"/>
    <x v="0"/>
    <x v="0"/>
    <x v="3"/>
    <x v="1"/>
    <x v="2"/>
    <x v="2"/>
  </r>
  <r>
    <x v="376"/>
    <x v="1"/>
    <x v="1"/>
    <n v="108.3"/>
    <n v="216.6"/>
    <x v="16"/>
    <d v="2025-01-20T00:00:00"/>
    <s v="O"/>
    <x v="4"/>
    <x v="0"/>
    <x v="0"/>
    <x v="3"/>
    <x v="2"/>
    <x v="2"/>
    <x v="3"/>
  </r>
  <r>
    <x v="377"/>
    <x v="5"/>
    <x v="2"/>
    <n v="59.9"/>
    <n v="179.7"/>
    <x v="16"/>
    <d v="2025-01-21T00:00:00"/>
    <s v="F"/>
    <x v="0"/>
    <x v="0"/>
    <x v="0"/>
    <x v="3"/>
    <x v="5"/>
    <x v="2"/>
    <x v="2"/>
  </r>
  <r>
    <x v="378"/>
    <x v="2"/>
    <x v="14"/>
    <n v="139"/>
    <n v="2363"/>
    <x v="16"/>
    <d v="2025-01-19T00:00:00"/>
    <s v="F"/>
    <x v="1"/>
    <x v="4"/>
    <x v="0"/>
    <x v="3"/>
    <x v="1"/>
    <x v="2"/>
    <x v="2"/>
  </r>
  <r>
    <x v="379"/>
    <x v="6"/>
    <x v="2"/>
    <n v="87.3"/>
    <n v="261.89999999999998"/>
    <x v="16"/>
    <d v="2025-01-18T00:00:00"/>
    <s v="F"/>
    <x v="0"/>
    <x v="0"/>
    <x v="0"/>
    <x v="3"/>
    <x v="3"/>
    <x v="2"/>
    <x v="2"/>
  </r>
  <r>
    <x v="380"/>
    <x v="11"/>
    <x v="12"/>
    <n v="42.3"/>
    <n v="169.2"/>
    <x v="16"/>
    <d v="2025-01-17T00:00:00"/>
    <s v="M"/>
    <x v="0"/>
    <x v="0"/>
    <x v="0"/>
    <x v="3"/>
    <x v="7"/>
    <x v="2"/>
    <x v="1"/>
  </r>
  <r>
    <x v="381"/>
    <x v="14"/>
    <x v="8"/>
    <n v="103.6"/>
    <n v="828.8"/>
    <x v="16"/>
    <d v="2025-01-18T00:00:00"/>
    <s v="O"/>
    <x v="0"/>
    <x v="1"/>
    <x v="0"/>
    <x v="3"/>
    <x v="3"/>
    <x v="2"/>
    <x v="3"/>
  </r>
  <r>
    <x v="382"/>
    <x v="6"/>
    <x v="1"/>
    <n v="90.9"/>
    <n v="181.8"/>
    <x v="16"/>
    <d v="2025-01-18T00:00:00"/>
    <s v="M"/>
    <x v="1"/>
    <x v="0"/>
    <x v="0"/>
    <x v="6"/>
    <x v="3"/>
    <x v="2"/>
    <x v="1"/>
  </r>
  <r>
    <x v="383"/>
    <x v="9"/>
    <x v="27"/>
    <n v="100.9"/>
    <n v="1614.4"/>
    <x v="16"/>
    <d v="2025-01-18T00:00:00"/>
    <s v="F"/>
    <x v="1"/>
    <x v="0"/>
    <x v="0"/>
    <x v="6"/>
    <x v="3"/>
    <x v="2"/>
    <x v="2"/>
  </r>
  <r>
    <x v="384"/>
    <x v="4"/>
    <x v="9"/>
    <n v="36"/>
    <n v="180"/>
    <x v="16"/>
    <d v="2025-01-19T00:00:00"/>
    <s v="F"/>
    <x v="1"/>
    <x v="0"/>
    <x v="0"/>
    <x v="7"/>
    <x v="1"/>
    <x v="2"/>
    <x v="2"/>
  </r>
  <r>
    <x v="385"/>
    <x v="6"/>
    <x v="13"/>
    <n v="83.3"/>
    <n v="499.79999999999995"/>
    <x v="16"/>
    <d v="2025-01-20T00:00:00"/>
    <s v=""/>
    <x v="2"/>
    <x v="0"/>
    <x v="0"/>
    <x v="7"/>
    <x v="2"/>
    <x v="2"/>
    <x v="0"/>
  </r>
  <r>
    <x v="386"/>
    <x v="2"/>
    <x v="14"/>
    <n v="60.3"/>
    <n v="1025.0999999999999"/>
    <x v="16"/>
    <d v="2025-01-18T00:00:00"/>
    <s v="M"/>
    <x v="2"/>
    <x v="1"/>
    <x v="0"/>
    <x v="7"/>
    <x v="3"/>
    <x v="2"/>
    <x v="1"/>
  </r>
  <r>
    <x v="387"/>
    <x v="2"/>
    <x v="13"/>
    <n v="120.3"/>
    <n v="721.8"/>
    <x v="16"/>
    <d v="2025-01-18T00:00:00"/>
    <s v="M"/>
    <x v="2"/>
    <x v="0"/>
    <x v="0"/>
    <x v="8"/>
    <x v="3"/>
    <x v="2"/>
    <x v="1"/>
  </r>
  <r>
    <x v="388"/>
    <x v="4"/>
    <x v="7"/>
    <n v="34"/>
    <n v="340"/>
    <x v="16"/>
    <d v="2025-01-21T00:00:00"/>
    <s v="F"/>
    <x v="2"/>
    <x v="0"/>
    <x v="0"/>
    <x v="8"/>
    <x v="5"/>
    <x v="2"/>
    <x v="2"/>
  </r>
  <r>
    <x v="389"/>
    <x v="10"/>
    <x v="9"/>
    <n v="42.6"/>
    <n v="213"/>
    <x v="16"/>
    <d v="2025-01-20T00:00:00"/>
    <s v="M"/>
    <x v="1"/>
    <x v="0"/>
    <x v="0"/>
    <x v="8"/>
    <x v="2"/>
    <x v="2"/>
    <x v="1"/>
  </r>
  <r>
    <x v="390"/>
    <x v="5"/>
    <x v="28"/>
    <n v="47.4"/>
    <n v="948"/>
    <x v="16"/>
    <d v="2025-01-17T00:00:00"/>
    <s v="F"/>
    <x v="2"/>
    <x v="1"/>
    <x v="0"/>
    <x v="17"/>
    <x v="7"/>
    <x v="2"/>
    <x v="2"/>
  </r>
  <r>
    <x v="391"/>
    <x v="2"/>
    <x v="0"/>
    <n v="74"/>
    <n v="74"/>
    <x v="17"/>
    <d v="2025-01-19T00:00:00"/>
    <s v="M"/>
    <x v="1"/>
    <x v="0"/>
    <x v="0"/>
    <x v="11"/>
    <x v="3"/>
    <x v="2"/>
    <x v="1"/>
  </r>
  <r>
    <x v="392"/>
    <x v="2"/>
    <x v="9"/>
    <n v="60.4"/>
    <n v="302"/>
    <x v="17"/>
    <d v="2025-01-21T00:00:00"/>
    <s v="F"/>
    <x v="1"/>
    <x v="4"/>
    <x v="0"/>
    <x v="18"/>
    <x v="2"/>
    <x v="2"/>
    <x v="2"/>
  </r>
  <r>
    <x v="393"/>
    <x v="12"/>
    <x v="1"/>
    <n v="69.3"/>
    <n v="138.6"/>
    <x v="17"/>
    <d v="2025-01-21T00:00:00"/>
    <s v="M"/>
    <x v="1"/>
    <x v="1"/>
    <x v="0"/>
    <x v="13"/>
    <x v="2"/>
    <x v="2"/>
    <x v="1"/>
  </r>
  <r>
    <x v="394"/>
    <x v="5"/>
    <x v="9"/>
    <n v="81"/>
    <n v="405"/>
    <x v="17"/>
    <d v="2025-01-24T00:00:00"/>
    <s v="M"/>
    <x v="3"/>
    <x v="0"/>
    <x v="0"/>
    <x v="21"/>
    <x v="4"/>
    <x v="2"/>
    <x v="1"/>
  </r>
  <r>
    <x v="395"/>
    <x v="15"/>
    <x v="2"/>
    <n v="41.5"/>
    <n v="124.5"/>
    <x v="17"/>
    <d v="2025-01-20T00:00:00"/>
    <s v="O"/>
    <x v="1"/>
    <x v="0"/>
    <x v="0"/>
    <x v="21"/>
    <x v="1"/>
    <x v="2"/>
    <x v="3"/>
  </r>
  <r>
    <x v="396"/>
    <x v="18"/>
    <x v="1"/>
    <n v="69.7"/>
    <n v="139.4"/>
    <x v="17"/>
    <d v="2025-01-23T00:00:00"/>
    <s v="M"/>
    <x v="1"/>
    <x v="0"/>
    <x v="0"/>
    <x v="21"/>
    <x v="0"/>
    <x v="2"/>
    <x v="1"/>
  </r>
  <r>
    <x v="397"/>
    <x v="2"/>
    <x v="9"/>
    <n v="83.6"/>
    <n v="418"/>
    <x v="17"/>
    <d v="2025-01-18T00:00:00"/>
    <s v="F"/>
    <x v="4"/>
    <x v="0"/>
    <x v="0"/>
    <x v="1"/>
    <x v="7"/>
    <x v="2"/>
    <x v="2"/>
  </r>
  <r>
    <x v="398"/>
    <x v="8"/>
    <x v="3"/>
    <n v="21.5"/>
    <n v="150.5"/>
    <x v="17"/>
    <d v="2025-01-20T00:00:00"/>
    <s v="M"/>
    <x v="1"/>
    <x v="4"/>
    <x v="0"/>
    <x v="34"/>
    <x v="1"/>
    <x v="2"/>
    <x v="1"/>
  </r>
  <r>
    <x v="399"/>
    <x v="8"/>
    <x v="8"/>
    <n v="28.6"/>
    <n v="228.8"/>
    <x v="17"/>
    <d v="2025-01-19T00:00:00"/>
    <s v="M"/>
    <x v="0"/>
    <x v="0"/>
    <x v="0"/>
    <x v="3"/>
    <x v="3"/>
    <x v="2"/>
    <x v="1"/>
  </r>
  <r>
    <x v="400"/>
    <x v="8"/>
    <x v="13"/>
    <n v="18.8"/>
    <n v="112.80000000000001"/>
    <x v="17"/>
    <d v="2025-01-21T00:00:00"/>
    <s v="M"/>
    <x v="3"/>
    <x v="2"/>
    <x v="0"/>
    <x v="3"/>
    <x v="2"/>
    <x v="2"/>
    <x v="1"/>
  </r>
  <r>
    <x v="401"/>
    <x v="10"/>
    <x v="12"/>
    <n v="35.1"/>
    <n v="140.4"/>
    <x v="17"/>
    <d v="2025-01-18T00:00:00"/>
    <s v="F"/>
    <x v="1"/>
    <x v="1"/>
    <x v="0"/>
    <x v="3"/>
    <x v="7"/>
    <x v="2"/>
    <x v="2"/>
  </r>
  <r>
    <x v="402"/>
    <x v="0"/>
    <x v="1"/>
    <n v="12.7"/>
    <n v="25.4"/>
    <x v="17"/>
    <d v="2025-01-20T00:00:00"/>
    <s v="F"/>
    <x v="1"/>
    <x v="2"/>
    <x v="0"/>
    <x v="3"/>
    <x v="1"/>
    <x v="2"/>
    <x v="2"/>
  </r>
  <r>
    <x v="403"/>
    <x v="8"/>
    <x v="9"/>
    <n v="27.4"/>
    <n v="137"/>
    <x v="17"/>
    <d v="2025-01-20T00:00:00"/>
    <s v="O"/>
    <x v="0"/>
    <x v="0"/>
    <x v="0"/>
    <x v="3"/>
    <x v="1"/>
    <x v="2"/>
    <x v="3"/>
  </r>
  <r>
    <x v="404"/>
    <x v="10"/>
    <x v="1"/>
    <n v="61.3"/>
    <n v="122.6"/>
    <x v="17"/>
    <d v="2025-01-19T00:00:00"/>
    <s v="F"/>
    <x v="1"/>
    <x v="0"/>
    <x v="0"/>
    <x v="6"/>
    <x v="3"/>
    <x v="2"/>
    <x v="2"/>
  </r>
  <r>
    <x v="405"/>
    <x v="8"/>
    <x v="1"/>
    <n v="64.7"/>
    <n v="129.4"/>
    <x v="17"/>
    <d v="2025-01-20T00:00:00"/>
    <s v="F"/>
    <x v="3"/>
    <x v="2"/>
    <x v="0"/>
    <x v="6"/>
    <x v="1"/>
    <x v="2"/>
    <x v="2"/>
  </r>
  <r>
    <x v="406"/>
    <x v="7"/>
    <x v="12"/>
    <n v="91.4"/>
    <n v="365.6"/>
    <x v="17"/>
    <d v="2025-01-20T00:00:00"/>
    <s v="F"/>
    <x v="0"/>
    <x v="0"/>
    <x v="0"/>
    <x v="8"/>
    <x v="1"/>
    <x v="2"/>
    <x v="2"/>
  </r>
  <r>
    <x v="407"/>
    <x v="0"/>
    <x v="1"/>
    <n v="33.1"/>
    <n v="66.2"/>
    <x v="18"/>
    <d v="2025-01-20T00:00:00"/>
    <s v="M"/>
    <x v="0"/>
    <x v="2"/>
    <x v="0"/>
    <x v="8"/>
    <x v="3"/>
    <x v="3"/>
    <x v="1"/>
  </r>
  <r>
    <x v="408"/>
    <x v="3"/>
    <x v="1"/>
    <n v="105.6"/>
    <n v="211.2"/>
    <x v="18"/>
    <d v="2025-01-20T00:00:00"/>
    <s v="M"/>
    <x v="2"/>
    <x v="1"/>
    <x v="0"/>
    <x v="8"/>
    <x v="3"/>
    <x v="3"/>
    <x v="1"/>
  </r>
  <r>
    <x v="409"/>
    <x v="10"/>
    <x v="2"/>
    <n v="46.4"/>
    <n v="139.19999999999999"/>
    <x v="18"/>
    <d v="2025-01-20T00:00:00"/>
    <s v="M"/>
    <x v="2"/>
    <x v="0"/>
    <x v="0"/>
    <x v="9"/>
    <x v="3"/>
    <x v="3"/>
    <x v="1"/>
  </r>
  <r>
    <x v="410"/>
    <x v="9"/>
    <x v="21"/>
    <n v="35.299999999999997"/>
    <n v="494.19999999999993"/>
    <x v="18"/>
    <d v="2025-01-22T00:00:00"/>
    <s v="F"/>
    <x v="4"/>
    <x v="1"/>
    <x v="0"/>
    <x v="11"/>
    <x v="2"/>
    <x v="3"/>
    <x v="2"/>
  </r>
  <r>
    <x v="411"/>
    <x v="0"/>
    <x v="1"/>
    <n v="16.100000000000001"/>
    <n v="32.200000000000003"/>
    <x v="18"/>
    <d v="2025-01-21T00:00:00"/>
    <s v="M"/>
    <x v="3"/>
    <x v="2"/>
    <x v="0"/>
    <x v="32"/>
    <x v="1"/>
    <x v="3"/>
    <x v="1"/>
  </r>
  <r>
    <x v="412"/>
    <x v="4"/>
    <x v="1"/>
    <n v="27.9"/>
    <n v="55.8"/>
    <x v="18"/>
    <d v="2025-01-22T00:00:00"/>
    <s v="M"/>
    <x v="0"/>
    <x v="0"/>
    <x v="0"/>
    <x v="13"/>
    <x v="2"/>
    <x v="3"/>
    <x v="1"/>
  </r>
  <r>
    <x v="413"/>
    <x v="8"/>
    <x v="0"/>
    <n v="47.1"/>
    <n v="47.1"/>
    <x v="18"/>
    <d v="2025-01-27T00:00:00"/>
    <s v="F"/>
    <x v="1"/>
    <x v="0"/>
    <x v="0"/>
    <x v="2"/>
    <x v="9"/>
    <x v="3"/>
    <x v="2"/>
  </r>
  <r>
    <x v="414"/>
    <x v="6"/>
    <x v="1"/>
    <n v="85"/>
    <n v="170"/>
    <x v="18"/>
    <d v="2025-01-22T00:00:00"/>
    <s v=""/>
    <x v="2"/>
    <x v="2"/>
    <x v="0"/>
    <x v="22"/>
    <x v="2"/>
    <x v="3"/>
    <x v="0"/>
  </r>
  <r>
    <x v="415"/>
    <x v="18"/>
    <x v="1"/>
    <n v="89"/>
    <n v="178"/>
    <x v="18"/>
    <d v="2025-01-21T00:00:00"/>
    <s v="F"/>
    <x v="0"/>
    <x v="0"/>
    <x v="0"/>
    <x v="3"/>
    <x v="1"/>
    <x v="3"/>
    <x v="2"/>
  </r>
  <r>
    <x v="416"/>
    <x v="16"/>
    <x v="2"/>
    <n v="36.6"/>
    <n v="109.80000000000001"/>
    <x v="18"/>
    <d v="2025-01-20T00:00:00"/>
    <s v="O"/>
    <x v="3"/>
    <x v="2"/>
    <x v="0"/>
    <x v="3"/>
    <x v="3"/>
    <x v="3"/>
    <x v="3"/>
  </r>
  <r>
    <x v="417"/>
    <x v="6"/>
    <x v="3"/>
    <n v="43.5"/>
    <n v="304.5"/>
    <x v="18"/>
    <d v="2025-01-20T00:00:00"/>
    <s v="M"/>
    <x v="1"/>
    <x v="2"/>
    <x v="0"/>
    <x v="3"/>
    <x v="3"/>
    <x v="3"/>
    <x v="1"/>
  </r>
  <r>
    <x v="418"/>
    <x v="9"/>
    <x v="10"/>
    <n v="30.5"/>
    <n v="579.5"/>
    <x v="18"/>
    <d v="2025-01-19T00:00:00"/>
    <s v="F"/>
    <x v="3"/>
    <x v="0"/>
    <x v="0"/>
    <x v="3"/>
    <x v="7"/>
    <x v="3"/>
    <x v="2"/>
  </r>
  <r>
    <x v="419"/>
    <x v="1"/>
    <x v="1"/>
    <n v="107.7"/>
    <n v="215.4"/>
    <x v="18"/>
    <d v="2025-01-23T00:00:00"/>
    <s v="M"/>
    <x v="3"/>
    <x v="4"/>
    <x v="0"/>
    <x v="3"/>
    <x v="5"/>
    <x v="3"/>
    <x v="1"/>
  </r>
  <r>
    <x v="420"/>
    <x v="17"/>
    <x v="18"/>
    <n v="57.1"/>
    <n v="1484.6000000000001"/>
    <x v="18"/>
    <d v="2025-01-20T00:00:00"/>
    <s v="M"/>
    <x v="1"/>
    <x v="0"/>
    <x v="0"/>
    <x v="3"/>
    <x v="3"/>
    <x v="3"/>
    <x v="1"/>
  </r>
  <r>
    <x v="421"/>
    <x v="2"/>
    <x v="7"/>
    <n v="111.7"/>
    <n v="1117"/>
    <x v="18"/>
    <d v="2025-01-20T00:00:00"/>
    <s v="F"/>
    <x v="4"/>
    <x v="2"/>
    <x v="0"/>
    <x v="3"/>
    <x v="3"/>
    <x v="3"/>
    <x v="2"/>
  </r>
  <r>
    <x v="422"/>
    <x v="18"/>
    <x v="3"/>
    <n v="44.3"/>
    <n v="310.09999999999997"/>
    <x v="18"/>
    <d v="2025-01-22T00:00:00"/>
    <s v="M"/>
    <x v="3"/>
    <x v="2"/>
    <x v="0"/>
    <x v="3"/>
    <x v="2"/>
    <x v="3"/>
    <x v="1"/>
  </r>
  <r>
    <x v="423"/>
    <x v="2"/>
    <x v="8"/>
    <n v="95.8"/>
    <n v="766.4"/>
    <x v="18"/>
    <d v="2025-01-25T00:00:00"/>
    <s v="O"/>
    <x v="0"/>
    <x v="0"/>
    <x v="0"/>
    <x v="3"/>
    <x v="4"/>
    <x v="3"/>
    <x v="3"/>
  </r>
  <r>
    <x v="424"/>
    <x v="10"/>
    <x v="3"/>
    <n v="22.6"/>
    <n v="158.20000000000002"/>
    <x v="18"/>
    <d v="2025-01-22T00:00:00"/>
    <s v="F"/>
    <x v="3"/>
    <x v="1"/>
    <x v="0"/>
    <x v="3"/>
    <x v="2"/>
    <x v="3"/>
    <x v="2"/>
  </r>
  <r>
    <x v="425"/>
    <x v="8"/>
    <x v="8"/>
    <n v="25.6"/>
    <n v="204.8"/>
    <x v="18"/>
    <d v="2025-01-21T00:00:00"/>
    <s v="F"/>
    <x v="4"/>
    <x v="0"/>
    <x v="0"/>
    <x v="3"/>
    <x v="1"/>
    <x v="3"/>
    <x v="2"/>
  </r>
  <r>
    <x v="426"/>
    <x v="6"/>
    <x v="27"/>
    <n v="54.3"/>
    <n v="868.8"/>
    <x v="18"/>
    <d v="2025-01-22T00:00:00"/>
    <s v="F"/>
    <x v="4"/>
    <x v="0"/>
    <x v="0"/>
    <x v="3"/>
    <x v="2"/>
    <x v="3"/>
    <x v="2"/>
  </r>
  <r>
    <x v="427"/>
    <x v="18"/>
    <x v="15"/>
    <n v="51.3"/>
    <n v="666.9"/>
    <x v="18"/>
    <d v="2025-01-21T00:00:00"/>
    <s v="M"/>
    <x v="0"/>
    <x v="2"/>
    <x v="0"/>
    <x v="3"/>
    <x v="1"/>
    <x v="3"/>
    <x v="1"/>
  </r>
  <r>
    <x v="428"/>
    <x v="0"/>
    <x v="8"/>
    <n v="25.6"/>
    <n v="204.8"/>
    <x v="18"/>
    <d v="2025-01-20T00:00:00"/>
    <s v="F"/>
    <x v="1"/>
    <x v="1"/>
    <x v="0"/>
    <x v="3"/>
    <x v="3"/>
    <x v="3"/>
    <x v="2"/>
  </r>
  <r>
    <x v="429"/>
    <x v="0"/>
    <x v="1"/>
    <n v="15.6"/>
    <n v="31.2"/>
    <x v="18"/>
    <d v="2025-01-20T00:00:00"/>
    <s v="F"/>
    <x v="2"/>
    <x v="2"/>
    <x v="0"/>
    <x v="3"/>
    <x v="3"/>
    <x v="3"/>
    <x v="2"/>
  </r>
  <r>
    <x v="430"/>
    <x v="8"/>
    <x v="2"/>
    <n v="30.3"/>
    <n v="90.9"/>
    <x v="18"/>
    <d v="2025-01-23T00:00:00"/>
    <s v="F"/>
    <x v="0"/>
    <x v="1"/>
    <x v="0"/>
    <x v="3"/>
    <x v="5"/>
    <x v="3"/>
    <x v="2"/>
  </r>
  <r>
    <x v="431"/>
    <x v="12"/>
    <x v="1"/>
    <n v="30.3"/>
    <n v="60.6"/>
    <x v="18"/>
    <d v="2025-01-24T00:00:00"/>
    <s v="F"/>
    <x v="0"/>
    <x v="2"/>
    <x v="0"/>
    <x v="37"/>
    <x v="0"/>
    <x v="3"/>
    <x v="2"/>
  </r>
  <r>
    <x v="432"/>
    <x v="10"/>
    <x v="2"/>
    <n v="53"/>
    <n v="159"/>
    <x v="18"/>
    <d v="2025-01-26T00:00:00"/>
    <s v="F"/>
    <x v="2"/>
    <x v="0"/>
    <x v="0"/>
    <x v="24"/>
    <x v="6"/>
    <x v="3"/>
    <x v="2"/>
  </r>
  <r>
    <x v="433"/>
    <x v="5"/>
    <x v="16"/>
    <n v="59.9"/>
    <n v="1078.2"/>
    <x v="18"/>
    <d v="2025-01-22T00:00:00"/>
    <s v="M"/>
    <x v="2"/>
    <x v="4"/>
    <x v="0"/>
    <x v="25"/>
    <x v="2"/>
    <x v="3"/>
    <x v="1"/>
  </r>
  <r>
    <x v="434"/>
    <x v="9"/>
    <x v="1"/>
    <n v="45.7"/>
    <n v="91.4"/>
    <x v="18"/>
    <d v="2025-01-20T00:00:00"/>
    <s v="F"/>
    <x v="1"/>
    <x v="2"/>
    <x v="0"/>
    <x v="6"/>
    <x v="3"/>
    <x v="3"/>
    <x v="2"/>
  </r>
  <r>
    <x v="435"/>
    <x v="8"/>
    <x v="12"/>
    <n v="46.1"/>
    <n v="184.4"/>
    <x v="18"/>
    <d v="2025-01-20T00:00:00"/>
    <s v="M"/>
    <x v="0"/>
    <x v="0"/>
    <x v="0"/>
    <x v="6"/>
    <x v="3"/>
    <x v="3"/>
    <x v="1"/>
  </r>
  <r>
    <x v="436"/>
    <x v="8"/>
    <x v="2"/>
    <n v="17.5"/>
    <n v="52.5"/>
    <x v="18"/>
    <d v="2025-01-20T00:00:00"/>
    <s v="F"/>
    <x v="0"/>
    <x v="2"/>
    <x v="0"/>
    <x v="8"/>
    <x v="3"/>
    <x v="3"/>
    <x v="2"/>
  </r>
  <r>
    <x v="437"/>
    <x v="10"/>
    <x v="2"/>
    <n v="36.5"/>
    <n v="109.5"/>
    <x v="18"/>
    <d v="2025-01-30T00:00:00"/>
    <s v="M"/>
    <x v="2"/>
    <x v="0"/>
    <x v="0"/>
    <x v="8"/>
    <x v="11"/>
    <x v="3"/>
    <x v="1"/>
  </r>
  <r>
    <x v="438"/>
    <x v="8"/>
    <x v="1"/>
    <n v="47.5"/>
    <n v="95"/>
    <x v="19"/>
    <d v="2025-01-22T00:00:00"/>
    <s v="F"/>
    <x v="1"/>
    <x v="0"/>
    <x v="0"/>
    <x v="8"/>
    <x v="1"/>
    <x v="3"/>
    <x v="2"/>
  </r>
  <r>
    <x v="439"/>
    <x v="6"/>
    <x v="9"/>
    <n v="45.6"/>
    <n v="228"/>
    <x v="19"/>
    <d v="2025-01-22T00:00:00"/>
    <s v="F"/>
    <x v="0"/>
    <x v="2"/>
    <x v="0"/>
    <x v="8"/>
    <x v="1"/>
    <x v="3"/>
    <x v="2"/>
  </r>
  <r>
    <x v="440"/>
    <x v="9"/>
    <x v="1"/>
    <n v="50.5"/>
    <n v="101"/>
    <x v="19"/>
    <d v="2025-01-22T00:00:00"/>
    <s v="M"/>
    <x v="0"/>
    <x v="1"/>
    <x v="0"/>
    <x v="17"/>
    <x v="1"/>
    <x v="3"/>
    <x v="1"/>
  </r>
  <r>
    <x v="441"/>
    <x v="2"/>
    <x v="7"/>
    <n v="99.8"/>
    <n v="998"/>
    <x v="19"/>
    <d v="2025-01-23T00:00:00"/>
    <s v="F"/>
    <x v="2"/>
    <x v="1"/>
    <x v="0"/>
    <x v="17"/>
    <x v="2"/>
    <x v="3"/>
    <x v="2"/>
  </r>
  <r>
    <x v="442"/>
    <x v="8"/>
    <x v="20"/>
    <n v="19.2"/>
    <n v="288"/>
    <x v="19"/>
    <d v="2025-01-22T00:00:00"/>
    <s v="O"/>
    <x v="4"/>
    <x v="1"/>
    <x v="0"/>
    <x v="26"/>
    <x v="1"/>
    <x v="3"/>
    <x v="3"/>
  </r>
  <r>
    <x v="443"/>
    <x v="17"/>
    <x v="2"/>
    <n v="22.6"/>
    <n v="67.800000000000011"/>
    <x v="19"/>
    <d v="2025-01-21T00:00:00"/>
    <s v="M"/>
    <x v="1"/>
    <x v="0"/>
    <x v="0"/>
    <x v="11"/>
    <x v="3"/>
    <x v="3"/>
    <x v="1"/>
  </r>
  <r>
    <x v="444"/>
    <x v="1"/>
    <x v="20"/>
    <n v="126.9"/>
    <n v="1903.5"/>
    <x v="19"/>
    <d v="2025-01-22T00:00:00"/>
    <s v="F"/>
    <x v="0"/>
    <x v="2"/>
    <x v="0"/>
    <x v="11"/>
    <x v="1"/>
    <x v="3"/>
    <x v="2"/>
  </r>
  <r>
    <x v="445"/>
    <x v="2"/>
    <x v="1"/>
    <n v="100.3"/>
    <n v="200.6"/>
    <x v="19"/>
    <d v="2025-01-21T00:00:00"/>
    <s v="F"/>
    <x v="0"/>
    <x v="1"/>
    <x v="0"/>
    <x v="11"/>
    <x v="3"/>
    <x v="3"/>
    <x v="2"/>
  </r>
  <r>
    <x v="446"/>
    <x v="4"/>
    <x v="16"/>
    <n v="24.6"/>
    <n v="442.8"/>
    <x v="19"/>
    <d v="2025-01-21T00:00:00"/>
    <s v="F"/>
    <x v="4"/>
    <x v="0"/>
    <x v="0"/>
    <x v="13"/>
    <x v="3"/>
    <x v="3"/>
    <x v="2"/>
  </r>
  <r>
    <x v="447"/>
    <x v="6"/>
    <x v="1"/>
    <n v="47.3"/>
    <n v="94.6"/>
    <x v="19"/>
    <d v="2025-01-21T00:00:00"/>
    <s v="M"/>
    <x v="1"/>
    <x v="2"/>
    <x v="0"/>
    <x v="13"/>
    <x v="3"/>
    <x v="3"/>
    <x v="1"/>
  </r>
  <r>
    <x v="448"/>
    <x v="6"/>
    <x v="3"/>
    <n v="40.799999999999997"/>
    <n v="285.59999999999997"/>
    <x v="19"/>
    <d v="2025-01-23T00:00:00"/>
    <s v="F"/>
    <x v="2"/>
    <x v="2"/>
    <x v="0"/>
    <x v="21"/>
    <x v="2"/>
    <x v="3"/>
    <x v="2"/>
  </r>
  <r>
    <x v="449"/>
    <x v="8"/>
    <x v="8"/>
    <n v="49.2"/>
    <n v="393.6"/>
    <x v="19"/>
    <d v="2025-01-22T00:00:00"/>
    <s v="F"/>
    <x v="0"/>
    <x v="0"/>
    <x v="0"/>
    <x v="1"/>
    <x v="1"/>
    <x v="3"/>
    <x v="2"/>
  </r>
  <r>
    <x v="450"/>
    <x v="8"/>
    <x v="0"/>
    <n v="28.5"/>
    <n v="28.5"/>
    <x v="19"/>
    <d v="2025-01-22T00:00:00"/>
    <s v=""/>
    <x v="2"/>
    <x v="1"/>
    <x v="0"/>
    <x v="3"/>
    <x v="1"/>
    <x v="3"/>
    <x v="0"/>
  </r>
  <r>
    <x v="451"/>
    <x v="18"/>
    <x v="1"/>
    <n v="36.799999999999997"/>
    <n v="73.599999999999994"/>
    <x v="19"/>
    <d v="2025-01-26T00:00:00"/>
    <s v="F"/>
    <x v="0"/>
    <x v="2"/>
    <x v="0"/>
    <x v="3"/>
    <x v="4"/>
    <x v="3"/>
    <x v="2"/>
  </r>
  <r>
    <x v="452"/>
    <x v="7"/>
    <x v="2"/>
    <n v="33.5"/>
    <n v="100.5"/>
    <x v="19"/>
    <d v="2025-01-21T00:00:00"/>
    <s v="F"/>
    <x v="0"/>
    <x v="1"/>
    <x v="0"/>
    <x v="3"/>
    <x v="3"/>
    <x v="3"/>
    <x v="2"/>
  </r>
  <r>
    <x v="453"/>
    <x v="6"/>
    <x v="13"/>
    <n v="62.5"/>
    <n v="375"/>
    <x v="19"/>
    <d v="2025-01-22T00:00:00"/>
    <s v="F"/>
    <x v="0"/>
    <x v="0"/>
    <x v="0"/>
    <x v="3"/>
    <x v="1"/>
    <x v="3"/>
    <x v="2"/>
  </r>
  <r>
    <x v="454"/>
    <x v="8"/>
    <x v="29"/>
    <n v="47.9"/>
    <n v="1916"/>
    <x v="19"/>
    <d v="2025-01-21T00:00:00"/>
    <s v="F"/>
    <x v="3"/>
    <x v="0"/>
    <x v="0"/>
    <x v="3"/>
    <x v="3"/>
    <x v="3"/>
    <x v="2"/>
  </r>
  <r>
    <x v="455"/>
    <x v="6"/>
    <x v="13"/>
    <n v="92.9"/>
    <n v="557.40000000000009"/>
    <x v="19"/>
    <d v="2025-01-31T00:00:00"/>
    <s v="F"/>
    <x v="0"/>
    <x v="4"/>
    <x v="0"/>
    <x v="3"/>
    <x v="11"/>
    <x v="3"/>
    <x v="2"/>
  </r>
  <r>
    <x v="456"/>
    <x v="12"/>
    <x v="2"/>
    <n v="44.1"/>
    <n v="132.30000000000001"/>
    <x v="19"/>
    <d v="2025-01-20T00:00:00"/>
    <s v="F"/>
    <x v="1"/>
    <x v="1"/>
    <x v="0"/>
    <x v="43"/>
    <x v="7"/>
    <x v="3"/>
    <x v="2"/>
  </r>
  <r>
    <x v="457"/>
    <x v="0"/>
    <x v="0"/>
    <n v="11.4"/>
    <n v="11.4"/>
    <x v="20"/>
    <d v="2025-01-23T00:00:00"/>
    <s v="F"/>
    <x v="2"/>
    <x v="0"/>
    <x v="0"/>
    <x v="5"/>
    <x v="1"/>
    <x v="3"/>
    <x v="2"/>
  </r>
  <r>
    <x v="458"/>
    <x v="6"/>
    <x v="0"/>
    <n v="83.7"/>
    <n v="83.7"/>
    <x v="20"/>
    <d v="2025-01-23T00:00:00"/>
    <s v="F"/>
    <x v="0"/>
    <x v="2"/>
    <x v="0"/>
    <x v="6"/>
    <x v="1"/>
    <x v="3"/>
    <x v="2"/>
  </r>
  <r>
    <x v="459"/>
    <x v="10"/>
    <x v="1"/>
    <n v="23.2"/>
    <n v="46.4"/>
    <x v="20"/>
    <d v="2025-01-22T00:00:00"/>
    <s v="M"/>
    <x v="2"/>
    <x v="0"/>
    <x v="0"/>
    <x v="8"/>
    <x v="3"/>
    <x v="3"/>
    <x v="1"/>
  </r>
  <r>
    <x v="460"/>
    <x v="2"/>
    <x v="0"/>
    <n v="162.1"/>
    <n v="162.1"/>
    <x v="20"/>
    <d v="2025-01-24T00:00:00"/>
    <s v="F"/>
    <x v="0"/>
    <x v="2"/>
    <x v="0"/>
    <x v="9"/>
    <x v="2"/>
    <x v="3"/>
    <x v="2"/>
  </r>
  <r>
    <x v="461"/>
    <x v="6"/>
    <x v="12"/>
    <n v="49.2"/>
    <n v="196.8"/>
    <x v="20"/>
    <d v="2025-01-25T00:00:00"/>
    <s v="M"/>
    <x v="1"/>
    <x v="0"/>
    <x v="0"/>
    <x v="9"/>
    <x v="5"/>
    <x v="3"/>
    <x v="1"/>
  </r>
  <r>
    <x v="462"/>
    <x v="1"/>
    <x v="1"/>
    <n v="61"/>
    <n v="122"/>
    <x v="20"/>
    <d v="2025-01-22T00:00:00"/>
    <s v="M"/>
    <x v="3"/>
    <x v="0"/>
    <x v="0"/>
    <x v="10"/>
    <x v="3"/>
    <x v="3"/>
    <x v="1"/>
  </r>
  <r>
    <x v="463"/>
    <x v="2"/>
    <x v="7"/>
    <n v="53.1"/>
    <n v="531"/>
    <x v="20"/>
    <d v="2025-01-23T00:00:00"/>
    <s v="M"/>
    <x v="0"/>
    <x v="0"/>
    <x v="0"/>
    <x v="11"/>
    <x v="1"/>
    <x v="3"/>
    <x v="1"/>
  </r>
  <r>
    <x v="464"/>
    <x v="4"/>
    <x v="1"/>
    <n v="22.4"/>
    <n v="44.8"/>
    <x v="20"/>
    <d v="2025-01-23T00:00:00"/>
    <s v=""/>
    <x v="1"/>
    <x v="2"/>
    <x v="0"/>
    <x v="13"/>
    <x v="1"/>
    <x v="3"/>
    <x v="0"/>
  </r>
  <r>
    <x v="465"/>
    <x v="1"/>
    <x v="9"/>
    <n v="75.3"/>
    <n v="376.5"/>
    <x v="20"/>
    <d v="2025-01-22T00:00:00"/>
    <s v="M"/>
    <x v="0"/>
    <x v="0"/>
    <x v="0"/>
    <x v="21"/>
    <x v="3"/>
    <x v="3"/>
    <x v="1"/>
  </r>
  <r>
    <x v="466"/>
    <x v="6"/>
    <x v="0"/>
    <n v="48.5"/>
    <n v="48.5"/>
    <x v="20"/>
    <d v="2025-01-22T00:00:00"/>
    <s v="F"/>
    <x v="0"/>
    <x v="1"/>
    <x v="0"/>
    <x v="21"/>
    <x v="3"/>
    <x v="3"/>
    <x v="2"/>
  </r>
  <r>
    <x v="467"/>
    <x v="6"/>
    <x v="0"/>
    <n v="42.6"/>
    <n v="42.6"/>
    <x v="20"/>
    <d v="2025-01-25T00:00:00"/>
    <s v="F"/>
    <x v="3"/>
    <x v="0"/>
    <x v="0"/>
    <x v="1"/>
    <x v="5"/>
    <x v="3"/>
    <x v="2"/>
  </r>
  <r>
    <x v="468"/>
    <x v="5"/>
    <x v="9"/>
    <n v="49"/>
    <n v="245"/>
    <x v="20"/>
    <d v="2025-01-22T00:00:00"/>
    <s v="M"/>
    <x v="0"/>
    <x v="0"/>
    <x v="0"/>
    <x v="22"/>
    <x v="3"/>
    <x v="3"/>
    <x v="1"/>
  </r>
  <r>
    <x v="469"/>
    <x v="8"/>
    <x v="2"/>
    <n v="31.3"/>
    <n v="93.9"/>
    <x v="20"/>
    <d v="2025-01-22T00:00:00"/>
    <s v="M"/>
    <x v="2"/>
    <x v="1"/>
    <x v="0"/>
    <x v="3"/>
    <x v="3"/>
    <x v="3"/>
    <x v="1"/>
  </r>
  <r>
    <x v="470"/>
    <x v="2"/>
    <x v="1"/>
    <n v="85.4"/>
    <n v="170.8"/>
    <x v="20"/>
    <d v="2025-01-22T00:00:00"/>
    <s v="F"/>
    <x v="2"/>
    <x v="0"/>
    <x v="0"/>
    <x v="3"/>
    <x v="3"/>
    <x v="3"/>
    <x v="2"/>
  </r>
  <r>
    <x v="471"/>
    <x v="8"/>
    <x v="12"/>
    <n v="40"/>
    <n v="160"/>
    <x v="20"/>
    <d v="2025-01-22T00:00:00"/>
    <s v="O"/>
    <x v="0"/>
    <x v="2"/>
    <x v="0"/>
    <x v="3"/>
    <x v="3"/>
    <x v="3"/>
    <x v="3"/>
  </r>
  <r>
    <x v="472"/>
    <x v="5"/>
    <x v="1"/>
    <n v="38.5"/>
    <n v="77"/>
    <x v="20"/>
    <d v="2025-01-24T00:00:00"/>
    <s v="M"/>
    <x v="1"/>
    <x v="2"/>
    <x v="0"/>
    <x v="3"/>
    <x v="2"/>
    <x v="3"/>
    <x v="1"/>
  </r>
  <r>
    <x v="473"/>
    <x v="2"/>
    <x v="1"/>
    <n v="57.8"/>
    <n v="115.6"/>
    <x v="20"/>
    <d v="2025-01-22T00:00:00"/>
    <s v=""/>
    <x v="0"/>
    <x v="0"/>
    <x v="0"/>
    <x v="3"/>
    <x v="3"/>
    <x v="3"/>
    <x v="0"/>
  </r>
  <r>
    <x v="474"/>
    <x v="8"/>
    <x v="0"/>
    <n v="19.2"/>
    <n v="19.2"/>
    <x v="20"/>
    <d v="2025-01-22T00:00:00"/>
    <s v="F"/>
    <x v="0"/>
    <x v="4"/>
    <x v="0"/>
    <x v="3"/>
    <x v="3"/>
    <x v="3"/>
    <x v="2"/>
  </r>
  <r>
    <x v="475"/>
    <x v="6"/>
    <x v="13"/>
    <n v="114.8"/>
    <n v="688.8"/>
    <x v="20"/>
    <d v="2025-01-24T00:00:00"/>
    <s v="M"/>
    <x v="1"/>
    <x v="1"/>
    <x v="0"/>
    <x v="3"/>
    <x v="2"/>
    <x v="3"/>
    <x v="1"/>
  </r>
  <r>
    <x v="476"/>
    <x v="10"/>
    <x v="3"/>
    <n v="48.4"/>
    <n v="338.8"/>
    <x v="20"/>
    <d v="2025-01-24T00:00:00"/>
    <s v="F"/>
    <x v="3"/>
    <x v="1"/>
    <x v="0"/>
    <x v="3"/>
    <x v="2"/>
    <x v="3"/>
    <x v="2"/>
  </r>
  <r>
    <x v="477"/>
    <x v="9"/>
    <x v="9"/>
    <n v="73.2"/>
    <n v="366"/>
    <x v="20"/>
    <d v="2025-01-22T00:00:00"/>
    <s v="F"/>
    <x v="1"/>
    <x v="4"/>
    <x v="0"/>
    <x v="3"/>
    <x v="3"/>
    <x v="3"/>
    <x v="2"/>
  </r>
  <r>
    <x v="478"/>
    <x v="15"/>
    <x v="1"/>
    <n v="48.6"/>
    <n v="97.2"/>
    <x v="20"/>
    <d v="2025-01-25T00:00:00"/>
    <s v="F"/>
    <x v="3"/>
    <x v="0"/>
    <x v="0"/>
    <x v="3"/>
    <x v="5"/>
    <x v="3"/>
    <x v="2"/>
  </r>
  <r>
    <x v="479"/>
    <x v="0"/>
    <x v="13"/>
    <n v="48.7"/>
    <n v="292.20000000000005"/>
    <x v="20"/>
    <d v="2025-01-22T00:00:00"/>
    <s v="M"/>
    <x v="0"/>
    <x v="0"/>
    <x v="0"/>
    <x v="3"/>
    <x v="3"/>
    <x v="3"/>
    <x v="1"/>
  </r>
  <r>
    <x v="480"/>
    <x v="4"/>
    <x v="1"/>
    <n v="32.200000000000003"/>
    <n v="64.400000000000006"/>
    <x v="20"/>
    <d v="2025-01-24T00:00:00"/>
    <s v="M"/>
    <x v="2"/>
    <x v="2"/>
    <x v="0"/>
    <x v="3"/>
    <x v="2"/>
    <x v="3"/>
    <x v="1"/>
  </r>
  <r>
    <x v="481"/>
    <x v="15"/>
    <x v="8"/>
    <n v="25.8"/>
    <n v="206.4"/>
    <x v="20"/>
    <d v="2025-01-22T00:00:00"/>
    <s v="M"/>
    <x v="0"/>
    <x v="0"/>
    <x v="0"/>
    <x v="37"/>
    <x v="3"/>
    <x v="3"/>
    <x v="1"/>
  </r>
  <r>
    <x v="482"/>
    <x v="6"/>
    <x v="1"/>
    <n v="94.8"/>
    <n v="189.6"/>
    <x v="21"/>
    <d v="2025-01-25T00:00:00"/>
    <s v="F"/>
    <x v="1"/>
    <x v="1"/>
    <x v="0"/>
    <x v="25"/>
    <x v="2"/>
    <x v="3"/>
    <x v="2"/>
  </r>
  <r>
    <x v="483"/>
    <x v="15"/>
    <x v="30"/>
    <n v="56.8"/>
    <n v="1420"/>
    <x v="21"/>
    <d v="2025-01-25T00:00:00"/>
    <s v="M"/>
    <x v="0"/>
    <x v="0"/>
    <x v="0"/>
    <x v="25"/>
    <x v="2"/>
    <x v="3"/>
    <x v="1"/>
  </r>
  <r>
    <x v="484"/>
    <x v="8"/>
    <x v="27"/>
    <n v="18.3"/>
    <n v="292.8"/>
    <x v="21"/>
    <d v="2025-01-29T00:00:00"/>
    <s v="F"/>
    <x v="2"/>
    <x v="2"/>
    <x v="0"/>
    <x v="23"/>
    <x v="6"/>
    <x v="3"/>
    <x v="2"/>
  </r>
  <r>
    <x v="485"/>
    <x v="0"/>
    <x v="2"/>
    <n v="16.8"/>
    <n v="50.400000000000006"/>
    <x v="21"/>
    <d v="2025-01-27T00:00:00"/>
    <s v="F"/>
    <x v="2"/>
    <x v="2"/>
    <x v="0"/>
    <x v="8"/>
    <x v="0"/>
    <x v="3"/>
    <x v="2"/>
  </r>
  <r>
    <x v="486"/>
    <x v="5"/>
    <x v="5"/>
    <n v="35.799999999999997"/>
    <n v="393.79999999999995"/>
    <x v="21"/>
    <d v="2025-01-23T00:00:00"/>
    <s v="M"/>
    <x v="1"/>
    <x v="0"/>
    <x v="0"/>
    <x v="17"/>
    <x v="3"/>
    <x v="3"/>
    <x v="1"/>
  </r>
  <r>
    <x v="487"/>
    <x v="18"/>
    <x v="0"/>
    <n v="64.900000000000006"/>
    <n v="64.900000000000006"/>
    <x v="21"/>
    <d v="2025-01-23T00:00:00"/>
    <s v="M"/>
    <x v="0"/>
    <x v="1"/>
    <x v="0"/>
    <x v="17"/>
    <x v="3"/>
    <x v="3"/>
    <x v="1"/>
  </r>
  <r>
    <x v="488"/>
    <x v="18"/>
    <x v="0"/>
    <n v="28.5"/>
    <n v="28.5"/>
    <x v="21"/>
    <d v="2025-01-24T00:00:00"/>
    <s v=""/>
    <x v="1"/>
    <x v="0"/>
    <x v="0"/>
    <x v="9"/>
    <x v="1"/>
    <x v="3"/>
    <x v="0"/>
  </r>
  <r>
    <x v="489"/>
    <x v="18"/>
    <x v="1"/>
    <n v="103.5"/>
    <n v="207"/>
    <x v="21"/>
    <d v="2025-01-24T00:00:00"/>
    <s v="F"/>
    <x v="1"/>
    <x v="0"/>
    <x v="0"/>
    <x v="10"/>
    <x v="1"/>
    <x v="3"/>
    <x v="2"/>
  </r>
  <r>
    <x v="490"/>
    <x v="4"/>
    <x v="1"/>
    <n v="41.2"/>
    <n v="82.4"/>
    <x v="21"/>
    <d v="2025-01-23T00:00:00"/>
    <s v="F"/>
    <x v="1"/>
    <x v="0"/>
    <x v="0"/>
    <x v="10"/>
    <x v="3"/>
    <x v="3"/>
    <x v="2"/>
  </r>
  <r>
    <x v="491"/>
    <x v="9"/>
    <x v="0"/>
    <n v="37.799999999999997"/>
    <n v="37.799999999999997"/>
    <x v="21"/>
    <d v="2025-01-24T00:00:00"/>
    <s v="F"/>
    <x v="3"/>
    <x v="3"/>
    <x v="0"/>
    <x v="11"/>
    <x v="1"/>
    <x v="3"/>
    <x v="2"/>
  </r>
  <r>
    <x v="492"/>
    <x v="8"/>
    <x v="1"/>
    <n v="42.6"/>
    <n v="85.2"/>
    <x v="21"/>
    <d v="2025-01-24T00:00:00"/>
    <s v="F"/>
    <x v="4"/>
    <x v="0"/>
    <x v="0"/>
    <x v="11"/>
    <x v="1"/>
    <x v="3"/>
    <x v="2"/>
  </r>
  <r>
    <x v="493"/>
    <x v="8"/>
    <x v="7"/>
    <n v="15.2"/>
    <n v="152"/>
    <x v="21"/>
    <d v="2025-01-24T00:00:00"/>
    <s v="F"/>
    <x v="2"/>
    <x v="0"/>
    <x v="0"/>
    <x v="11"/>
    <x v="1"/>
    <x v="3"/>
    <x v="2"/>
  </r>
  <r>
    <x v="494"/>
    <x v="7"/>
    <x v="12"/>
    <n v="83.4"/>
    <n v="333.6"/>
    <x v="21"/>
    <d v="2025-01-23T00:00:00"/>
    <s v="F"/>
    <x v="2"/>
    <x v="1"/>
    <x v="0"/>
    <x v="18"/>
    <x v="3"/>
    <x v="3"/>
    <x v="2"/>
  </r>
  <r>
    <x v="495"/>
    <x v="19"/>
    <x v="1"/>
    <n v="27.7"/>
    <n v="55.4"/>
    <x v="21"/>
    <d v="2025-01-23T00:00:00"/>
    <s v="F"/>
    <x v="0"/>
    <x v="1"/>
    <x v="0"/>
    <x v="13"/>
    <x v="3"/>
    <x v="3"/>
    <x v="2"/>
  </r>
  <r>
    <x v="496"/>
    <x v="10"/>
    <x v="4"/>
    <n v="20.8"/>
    <n v="249.60000000000002"/>
    <x v="21"/>
    <d v="2025-01-23T00:00:00"/>
    <s v="M"/>
    <x v="3"/>
    <x v="0"/>
    <x v="0"/>
    <x v="13"/>
    <x v="3"/>
    <x v="3"/>
    <x v="1"/>
  </r>
  <r>
    <x v="497"/>
    <x v="11"/>
    <x v="1"/>
    <n v="72.7"/>
    <n v="145.4"/>
    <x v="21"/>
    <d v="2025-01-26T00:00:00"/>
    <s v="F"/>
    <x v="4"/>
    <x v="2"/>
    <x v="0"/>
    <x v="44"/>
    <x v="5"/>
    <x v="3"/>
    <x v="2"/>
  </r>
  <r>
    <x v="498"/>
    <x v="10"/>
    <x v="12"/>
    <n v="38.6"/>
    <n v="154.4"/>
    <x v="21"/>
    <d v="2025-01-23T00:00:00"/>
    <s v="M"/>
    <x v="0"/>
    <x v="2"/>
    <x v="0"/>
    <x v="22"/>
    <x v="3"/>
    <x v="3"/>
    <x v="1"/>
  </r>
  <r>
    <x v="499"/>
    <x v="8"/>
    <x v="3"/>
    <n v="33.1"/>
    <n v="231.70000000000002"/>
    <x v="21"/>
    <d v="2025-01-23T00:00:00"/>
    <s v="O"/>
    <x v="4"/>
    <x v="3"/>
    <x v="0"/>
    <x v="3"/>
    <x v="3"/>
    <x v="3"/>
    <x v="3"/>
  </r>
  <r>
    <x v="500"/>
    <x v="10"/>
    <x v="1"/>
    <n v="30.5"/>
    <n v="61"/>
    <x v="21"/>
    <d v="2025-01-22T00:00:00"/>
    <s v=""/>
    <x v="1"/>
    <x v="1"/>
    <x v="0"/>
    <x v="3"/>
    <x v="7"/>
    <x v="3"/>
    <x v="0"/>
  </r>
  <r>
    <x v="501"/>
    <x v="9"/>
    <x v="1"/>
    <n v="69.599999999999994"/>
    <n v="139.19999999999999"/>
    <x v="21"/>
    <d v="2025-01-23T00:00:00"/>
    <s v="M"/>
    <x v="0"/>
    <x v="1"/>
    <x v="0"/>
    <x v="3"/>
    <x v="3"/>
    <x v="3"/>
    <x v="1"/>
  </r>
  <r>
    <x v="502"/>
    <x v="11"/>
    <x v="0"/>
    <n v="42.4"/>
    <n v="42.4"/>
    <x v="21"/>
    <d v="2025-01-26T00:00:00"/>
    <s v="F"/>
    <x v="1"/>
    <x v="0"/>
    <x v="0"/>
    <x v="3"/>
    <x v="5"/>
    <x v="3"/>
    <x v="2"/>
  </r>
  <r>
    <x v="503"/>
    <x v="17"/>
    <x v="0"/>
    <n v="32.200000000000003"/>
    <n v="32.200000000000003"/>
    <x v="21"/>
    <d v="2025-01-25T00:00:00"/>
    <s v="F"/>
    <x v="2"/>
    <x v="1"/>
    <x v="0"/>
    <x v="3"/>
    <x v="2"/>
    <x v="3"/>
    <x v="2"/>
  </r>
  <r>
    <x v="504"/>
    <x v="6"/>
    <x v="1"/>
    <n v="41.5"/>
    <n v="83"/>
    <x v="21"/>
    <d v="2025-01-25T00:00:00"/>
    <s v="F"/>
    <x v="0"/>
    <x v="2"/>
    <x v="0"/>
    <x v="3"/>
    <x v="2"/>
    <x v="3"/>
    <x v="2"/>
  </r>
  <r>
    <x v="505"/>
    <x v="16"/>
    <x v="11"/>
    <n v="58.9"/>
    <n v="530.1"/>
    <x v="21"/>
    <d v="2025-01-26T00:00:00"/>
    <s v="F"/>
    <x v="3"/>
    <x v="0"/>
    <x v="0"/>
    <x v="3"/>
    <x v="5"/>
    <x v="3"/>
    <x v="2"/>
  </r>
  <r>
    <x v="506"/>
    <x v="2"/>
    <x v="0"/>
    <n v="57.1"/>
    <n v="57.1"/>
    <x v="21"/>
    <d v="2025-01-25T00:00:00"/>
    <s v="F"/>
    <x v="1"/>
    <x v="0"/>
    <x v="0"/>
    <x v="3"/>
    <x v="2"/>
    <x v="3"/>
    <x v="2"/>
  </r>
  <r>
    <x v="507"/>
    <x v="6"/>
    <x v="0"/>
    <n v="57.2"/>
    <n v="57.2"/>
    <x v="21"/>
    <d v="2025-01-24T00:00:00"/>
    <s v="M"/>
    <x v="1"/>
    <x v="0"/>
    <x v="0"/>
    <x v="3"/>
    <x v="1"/>
    <x v="3"/>
    <x v="1"/>
  </r>
  <r>
    <x v="508"/>
    <x v="8"/>
    <x v="1"/>
    <n v="35.1"/>
    <n v="70.2"/>
    <x v="21"/>
    <d v="2025-01-23T00:00:00"/>
    <s v="M"/>
    <x v="1"/>
    <x v="0"/>
    <x v="0"/>
    <x v="6"/>
    <x v="3"/>
    <x v="3"/>
    <x v="1"/>
  </r>
  <r>
    <x v="509"/>
    <x v="1"/>
    <x v="0"/>
    <n v="52.1"/>
    <n v="52.1"/>
    <x v="21"/>
    <d v="2025-01-24T00:00:00"/>
    <s v="F"/>
    <x v="4"/>
    <x v="1"/>
    <x v="0"/>
    <x v="8"/>
    <x v="1"/>
    <x v="3"/>
    <x v="2"/>
  </r>
  <r>
    <x v="510"/>
    <x v="13"/>
    <x v="2"/>
    <n v="59.8"/>
    <n v="179.39999999999998"/>
    <x v="21"/>
    <d v="2025-01-24T00:00:00"/>
    <s v="F"/>
    <x v="4"/>
    <x v="1"/>
    <x v="0"/>
    <x v="8"/>
    <x v="1"/>
    <x v="3"/>
    <x v="2"/>
  </r>
  <r>
    <x v="511"/>
    <x v="3"/>
    <x v="12"/>
    <n v="83.3"/>
    <n v="333.2"/>
    <x v="21"/>
    <d v="2025-01-22T00:00:00"/>
    <s v=""/>
    <x v="2"/>
    <x v="0"/>
    <x v="0"/>
    <x v="8"/>
    <x v="7"/>
    <x v="3"/>
    <x v="0"/>
  </r>
  <r>
    <x v="512"/>
    <x v="15"/>
    <x v="4"/>
    <n v="41.3"/>
    <n v="495.59999999999997"/>
    <x v="21"/>
    <d v="2025-01-23T00:00:00"/>
    <s v="F"/>
    <x v="1"/>
    <x v="0"/>
    <x v="0"/>
    <x v="8"/>
    <x v="3"/>
    <x v="3"/>
    <x v="2"/>
  </r>
  <r>
    <x v="513"/>
    <x v="8"/>
    <x v="9"/>
    <n v="16"/>
    <n v="80"/>
    <x v="21"/>
    <d v="2025-01-24T00:00:00"/>
    <s v="M"/>
    <x v="4"/>
    <x v="1"/>
    <x v="0"/>
    <x v="9"/>
    <x v="1"/>
    <x v="3"/>
    <x v="1"/>
  </r>
  <r>
    <x v="514"/>
    <x v="10"/>
    <x v="1"/>
    <n v="20.8"/>
    <n v="41.6"/>
    <x v="22"/>
    <d v="2025-01-25T00:00:00"/>
    <s v="M"/>
    <x v="0"/>
    <x v="2"/>
    <x v="0"/>
    <x v="11"/>
    <x v="1"/>
    <x v="3"/>
    <x v="1"/>
  </r>
  <r>
    <x v="515"/>
    <x v="8"/>
    <x v="31"/>
    <n v="27.1"/>
    <n v="758.80000000000007"/>
    <x v="22"/>
    <d v="2025-01-24T00:00:00"/>
    <s v=""/>
    <x v="3"/>
    <x v="2"/>
    <x v="0"/>
    <x v="11"/>
    <x v="3"/>
    <x v="3"/>
    <x v="0"/>
  </r>
  <r>
    <x v="516"/>
    <x v="10"/>
    <x v="1"/>
    <n v="38.9"/>
    <n v="77.8"/>
    <x v="22"/>
    <d v="2025-01-25T00:00:00"/>
    <s v="F"/>
    <x v="0"/>
    <x v="0"/>
    <x v="0"/>
    <x v="18"/>
    <x v="1"/>
    <x v="3"/>
    <x v="2"/>
  </r>
  <r>
    <x v="517"/>
    <x v="0"/>
    <x v="1"/>
    <n v="10.8"/>
    <n v="21.6"/>
    <x v="22"/>
    <d v="2025-01-26T00:00:00"/>
    <s v="F"/>
    <x v="1"/>
    <x v="2"/>
    <x v="0"/>
    <x v="45"/>
    <x v="2"/>
    <x v="3"/>
    <x v="2"/>
  </r>
  <r>
    <x v="518"/>
    <x v="4"/>
    <x v="15"/>
    <n v="48.4"/>
    <n v="629.19999999999993"/>
    <x v="22"/>
    <d v="2025-01-27T00:00:00"/>
    <s v="F"/>
    <x v="0"/>
    <x v="0"/>
    <x v="0"/>
    <x v="21"/>
    <x v="5"/>
    <x v="3"/>
    <x v="2"/>
  </r>
  <r>
    <x v="519"/>
    <x v="4"/>
    <x v="2"/>
    <n v="29.2"/>
    <n v="87.6"/>
    <x v="22"/>
    <d v="2025-01-26T00:00:00"/>
    <s v="F"/>
    <x v="1"/>
    <x v="1"/>
    <x v="0"/>
    <x v="2"/>
    <x v="2"/>
    <x v="3"/>
    <x v="2"/>
  </r>
  <r>
    <x v="520"/>
    <x v="4"/>
    <x v="1"/>
    <n v="25.1"/>
    <n v="50.2"/>
    <x v="22"/>
    <d v="2025-01-24T00:00:00"/>
    <s v="M"/>
    <x v="0"/>
    <x v="1"/>
    <x v="0"/>
    <x v="2"/>
    <x v="3"/>
    <x v="3"/>
    <x v="1"/>
  </r>
  <r>
    <x v="521"/>
    <x v="7"/>
    <x v="2"/>
    <n v="65.599999999999994"/>
    <n v="196.79999999999998"/>
    <x v="22"/>
    <d v="2025-01-23T00:00:00"/>
    <s v="F"/>
    <x v="2"/>
    <x v="1"/>
    <x v="0"/>
    <x v="3"/>
    <x v="7"/>
    <x v="3"/>
    <x v="2"/>
  </r>
  <r>
    <x v="522"/>
    <x v="2"/>
    <x v="1"/>
    <n v="57.3"/>
    <n v="114.6"/>
    <x v="22"/>
    <d v="2025-01-23T00:00:00"/>
    <s v=""/>
    <x v="0"/>
    <x v="0"/>
    <x v="0"/>
    <x v="3"/>
    <x v="7"/>
    <x v="3"/>
    <x v="0"/>
  </r>
  <r>
    <x v="523"/>
    <x v="9"/>
    <x v="12"/>
    <n v="22.4"/>
    <n v="89.6"/>
    <x v="22"/>
    <d v="2025-01-24T00:00:00"/>
    <s v="F"/>
    <x v="2"/>
    <x v="2"/>
    <x v="0"/>
    <x v="3"/>
    <x v="3"/>
    <x v="3"/>
    <x v="2"/>
  </r>
  <r>
    <x v="524"/>
    <x v="12"/>
    <x v="11"/>
    <n v="45.7"/>
    <n v="411.3"/>
    <x v="22"/>
    <d v="2025-01-24T00:00:00"/>
    <s v="F"/>
    <x v="0"/>
    <x v="0"/>
    <x v="0"/>
    <x v="3"/>
    <x v="3"/>
    <x v="3"/>
    <x v="2"/>
  </r>
  <r>
    <x v="525"/>
    <x v="8"/>
    <x v="1"/>
    <n v="29.3"/>
    <n v="58.6"/>
    <x v="22"/>
    <d v="2025-01-24T00:00:00"/>
    <s v="M"/>
    <x v="1"/>
    <x v="0"/>
    <x v="0"/>
    <x v="3"/>
    <x v="3"/>
    <x v="3"/>
    <x v="1"/>
  </r>
  <r>
    <x v="526"/>
    <x v="18"/>
    <x v="32"/>
    <n v="74"/>
    <n v="1628"/>
    <x v="22"/>
    <d v="2025-01-24T00:00:00"/>
    <s v="M"/>
    <x v="0"/>
    <x v="2"/>
    <x v="0"/>
    <x v="3"/>
    <x v="3"/>
    <x v="3"/>
    <x v="1"/>
  </r>
  <r>
    <x v="527"/>
    <x v="14"/>
    <x v="1"/>
    <n v="39.200000000000003"/>
    <n v="78.400000000000006"/>
    <x v="22"/>
    <d v="2025-01-25T00:00:00"/>
    <s v="F"/>
    <x v="1"/>
    <x v="0"/>
    <x v="0"/>
    <x v="3"/>
    <x v="1"/>
    <x v="3"/>
    <x v="2"/>
  </r>
  <r>
    <x v="528"/>
    <x v="4"/>
    <x v="14"/>
    <n v="62.7"/>
    <n v="1065.9000000000001"/>
    <x v="22"/>
    <d v="2025-01-24T00:00:00"/>
    <s v="F"/>
    <x v="2"/>
    <x v="1"/>
    <x v="0"/>
    <x v="3"/>
    <x v="3"/>
    <x v="3"/>
    <x v="2"/>
  </r>
  <r>
    <x v="529"/>
    <x v="10"/>
    <x v="1"/>
    <n v="60.1"/>
    <n v="120.2"/>
    <x v="22"/>
    <d v="2025-01-24T00:00:00"/>
    <s v="F"/>
    <x v="3"/>
    <x v="0"/>
    <x v="0"/>
    <x v="3"/>
    <x v="3"/>
    <x v="3"/>
    <x v="2"/>
  </r>
  <r>
    <x v="530"/>
    <x v="0"/>
    <x v="12"/>
    <n v="11.2"/>
    <n v="44.8"/>
    <x v="22"/>
    <d v="2025-01-24T00:00:00"/>
    <s v="F"/>
    <x v="3"/>
    <x v="1"/>
    <x v="0"/>
    <x v="3"/>
    <x v="3"/>
    <x v="3"/>
    <x v="2"/>
  </r>
  <r>
    <x v="531"/>
    <x v="8"/>
    <x v="1"/>
    <n v="22.9"/>
    <n v="45.8"/>
    <x v="22"/>
    <d v="2025-01-24T00:00:00"/>
    <s v="F"/>
    <x v="0"/>
    <x v="0"/>
    <x v="0"/>
    <x v="6"/>
    <x v="3"/>
    <x v="3"/>
    <x v="2"/>
  </r>
  <r>
    <x v="532"/>
    <x v="1"/>
    <x v="1"/>
    <n v="37.6"/>
    <n v="75.2"/>
    <x v="22"/>
    <d v="2025-01-26T00:00:00"/>
    <s v="F"/>
    <x v="0"/>
    <x v="0"/>
    <x v="0"/>
    <x v="6"/>
    <x v="2"/>
    <x v="3"/>
    <x v="2"/>
  </r>
  <r>
    <x v="533"/>
    <x v="6"/>
    <x v="0"/>
    <n v="42.4"/>
    <n v="42.4"/>
    <x v="22"/>
    <d v="2025-01-24T00:00:00"/>
    <s v="F"/>
    <x v="3"/>
    <x v="2"/>
    <x v="0"/>
    <x v="6"/>
    <x v="3"/>
    <x v="3"/>
    <x v="2"/>
  </r>
  <r>
    <x v="534"/>
    <x v="8"/>
    <x v="1"/>
    <n v="19.600000000000001"/>
    <n v="39.200000000000003"/>
    <x v="22"/>
    <d v="2025-01-27T00:00:00"/>
    <s v="F"/>
    <x v="2"/>
    <x v="0"/>
    <x v="0"/>
    <x v="7"/>
    <x v="5"/>
    <x v="3"/>
    <x v="2"/>
  </r>
  <r>
    <x v="535"/>
    <x v="9"/>
    <x v="0"/>
    <n v="90.5"/>
    <n v="90.5"/>
    <x v="22"/>
    <d v="2025-01-26T00:00:00"/>
    <s v="F"/>
    <x v="2"/>
    <x v="0"/>
    <x v="0"/>
    <x v="7"/>
    <x v="2"/>
    <x v="3"/>
    <x v="2"/>
  </r>
  <r>
    <x v="536"/>
    <x v="16"/>
    <x v="5"/>
    <n v="33.9"/>
    <n v="372.9"/>
    <x v="22"/>
    <d v="2025-01-24T00:00:00"/>
    <s v="M"/>
    <x v="2"/>
    <x v="1"/>
    <x v="0"/>
    <x v="7"/>
    <x v="3"/>
    <x v="3"/>
    <x v="1"/>
  </r>
  <r>
    <x v="537"/>
    <x v="0"/>
    <x v="1"/>
    <n v="32.799999999999997"/>
    <n v="65.599999999999994"/>
    <x v="22"/>
    <d v="2025-01-25T00:00:00"/>
    <s v="F"/>
    <x v="4"/>
    <x v="4"/>
    <x v="0"/>
    <x v="8"/>
    <x v="1"/>
    <x v="3"/>
    <x v="2"/>
  </r>
  <r>
    <x v="538"/>
    <x v="15"/>
    <x v="0"/>
    <n v="49.9"/>
    <n v="49.9"/>
    <x v="22"/>
    <d v="2025-01-24T00:00:00"/>
    <s v="M"/>
    <x v="3"/>
    <x v="1"/>
    <x v="0"/>
    <x v="8"/>
    <x v="3"/>
    <x v="3"/>
    <x v="1"/>
  </r>
  <r>
    <x v="539"/>
    <x v="7"/>
    <x v="9"/>
    <n v="79.2"/>
    <n v="396"/>
    <x v="22"/>
    <d v="2025-01-24T00:00:00"/>
    <s v="F"/>
    <x v="4"/>
    <x v="0"/>
    <x v="0"/>
    <x v="8"/>
    <x v="3"/>
    <x v="3"/>
    <x v="2"/>
  </r>
  <r>
    <x v="540"/>
    <x v="8"/>
    <x v="27"/>
    <n v="19.5"/>
    <n v="312"/>
    <x v="22"/>
    <d v="2025-01-25T00:00:00"/>
    <s v="M"/>
    <x v="3"/>
    <x v="2"/>
    <x v="0"/>
    <x v="8"/>
    <x v="1"/>
    <x v="3"/>
    <x v="1"/>
  </r>
  <r>
    <x v="541"/>
    <x v="8"/>
    <x v="12"/>
    <n v="18"/>
    <n v="72"/>
    <x v="22"/>
    <d v="2025-01-24T00:00:00"/>
    <s v="M"/>
    <x v="1"/>
    <x v="0"/>
    <x v="0"/>
    <x v="10"/>
    <x v="3"/>
    <x v="3"/>
    <x v="1"/>
  </r>
  <r>
    <x v="542"/>
    <x v="9"/>
    <x v="2"/>
    <n v="45.9"/>
    <n v="137.69999999999999"/>
    <x v="22"/>
    <d v="2025-01-25T00:00:00"/>
    <s v="F"/>
    <x v="1"/>
    <x v="1"/>
    <x v="0"/>
    <x v="10"/>
    <x v="1"/>
    <x v="3"/>
    <x v="2"/>
  </r>
  <r>
    <x v="543"/>
    <x v="11"/>
    <x v="0"/>
    <n v="41.2"/>
    <n v="41.2"/>
    <x v="22"/>
    <d v="2025-01-25T00:00:00"/>
    <s v="F"/>
    <x v="1"/>
    <x v="2"/>
    <x v="0"/>
    <x v="11"/>
    <x v="1"/>
    <x v="3"/>
    <x v="2"/>
  </r>
  <r>
    <x v="544"/>
    <x v="2"/>
    <x v="7"/>
    <n v="167.2"/>
    <n v="1672"/>
    <x v="22"/>
    <d v="2025-01-25T00:00:00"/>
    <s v="F"/>
    <x v="2"/>
    <x v="2"/>
    <x v="0"/>
    <x v="32"/>
    <x v="1"/>
    <x v="3"/>
    <x v="2"/>
  </r>
  <r>
    <x v="545"/>
    <x v="6"/>
    <x v="17"/>
    <n v="74.5"/>
    <n v="2235"/>
    <x v="23"/>
    <d v="2025-01-27T00:00:00"/>
    <s v="F"/>
    <x v="1"/>
    <x v="2"/>
    <x v="0"/>
    <x v="38"/>
    <x v="2"/>
    <x v="3"/>
    <x v="2"/>
  </r>
  <r>
    <x v="546"/>
    <x v="7"/>
    <x v="12"/>
    <n v="39.299999999999997"/>
    <n v="157.19999999999999"/>
    <x v="23"/>
    <d v="2025-01-25T00:00:00"/>
    <s v=""/>
    <x v="2"/>
    <x v="0"/>
    <x v="0"/>
    <x v="19"/>
    <x v="3"/>
    <x v="3"/>
    <x v="0"/>
  </r>
  <r>
    <x v="547"/>
    <x v="9"/>
    <x v="0"/>
    <n v="68.5"/>
    <n v="68.5"/>
    <x v="23"/>
    <d v="2025-01-27T00:00:00"/>
    <s v="M"/>
    <x v="1"/>
    <x v="2"/>
    <x v="0"/>
    <x v="12"/>
    <x v="2"/>
    <x v="3"/>
    <x v="1"/>
  </r>
  <r>
    <x v="548"/>
    <x v="0"/>
    <x v="2"/>
    <n v="22.5"/>
    <n v="67.5"/>
    <x v="23"/>
    <d v="2025-01-24T00:00:00"/>
    <s v="F"/>
    <x v="4"/>
    <x v="0"/>
    <x v="0"/>
    <x v="13"/>
    <x v="7"/>
    <x v="3"/>
    <x v="2"/>
  </r>
  <r>
    <x v="549"/>
    <x v="1"/>
    <x v="0"/>
    <n v="48"/>
    <n v="48"/>
    <x v="23"/>
    <d v="2025-01-25T00:00:00"/>
    <s v="O"/>
    <x v="4"/>
    <x v="1"/>
    <x v="0"/>
    <x v="46"/>
    <x v="3"/>
    <x v="3"/>
    <x v="3"/>
  </r>
  <r>
    <x v="550"/>
    <x v="6"/>
    <x v="0"/>
    <n v="94"/>
    <n v="94"/>
    <x v="23"/>
    <d v="2025-01-25T00:00:00"/>
    <s v="M"/>
    <x v="3"/>
    <x v="1"/>
    <x v="0"/>
    <x v="1"/>
    <x v="3"/>
    <x v="3"/>
    <x v="1"/>
  </r>
  <r>
    <x v="551"/>
    <x v="8"/>
    <x v="2"/>
    <n v="21.9"/>
    <n v="65.699999999999989"/>
    <x v="23"/>
    <d v="2025-01-25T00:00:00"/>
    <s v="F"/>
    <x v="0"/>
    <x v="0"/>
    <x v="0"/>
    <x v="44"/>
    <x v="3"/>
    <x v="3"/>
    <x v="2"/>
  </r>
  <r>
    <x v="552"/>
    <x v="6"/>
    <x v="3"/>
    <n v="64.900000000000006"/>
    <n v="454.30000000000007"/>
    <x v="23"/>
    <d v="2025-01-25T00:00:00"/>
    <s v="F"/>
    <x v="0"/>
    <x v="0"/>
    <x v="0"/>
    <x v="3"/>
    <x v="3"/>
    <x v="3"/>
    <x v="2"/>
  </r>
  <r>
    <x v="553"/>
    <x v="12"/>
    <x v="0"/>
    <n v="52.9"/>
    <n v="52.9"/>
    <x v="23"/>
    <d v="2025-01-24T00:00:00"/>
    <s v="F"/>
    <x v="1"/>
    <x v="1"/>
    <x v="0"/>
    <x v="3"/>
    <x v="7"/>
    <x v="3"/>
    <x v="2"/>
  </r>
  <r>
    <x v="554"/>
    <x v="8"/>
    <x v="2"/>
    <n v="25.5"/>
    <n v="76.5"/>
    <x v="23"/>
    <d v="2025-01-25T00:00:00"/>
    <s v="F"/>
    <x v="1"/>
    <x v="2"/>
    <x v="0"/>
    <x v="3"/>
    <x v="3"/>
    <x v="3"/>
    <x v="2"/>
  </r>
  <r>
    <x v="555"/>
    <x v="6"/>
    <x v="2"/>
    <n v="51.9"/>
    <n v="155.69999999999999"/>
    <x v="23"/>
    <d v="2025-01-25T00:00:00"/>
    <s v="F"/>
    <x v="3"/>
    <x v="0"/>
    <x v="0"/>
    <x v="3"/>
    <x v="3"/>
    <x v="3"/>
    <x v="2"/>
  </r>
  <r>
    <x v="556"/>
    <x v="5"/>
    <x v="0"/>
    <n v="46.3"/>
    <n v="46.3"/>
    <x v="23"/>
    <d v="2025-01-27T00:00:00"/>
    <s v="F"/>
    <x v="4"/>
    <x v="0"/>
    <x v="0"/>
    <x v="3"/>
    <x v="2"/>
    <x v="3"/>
    <x v="2"/>
  </r>
  <r>
    <x v="557"/>
    <x v="6"/>
    <x v="1"/>
    <n v="68.2"/>
    <n v="136.4"/>
    <x v="23"/>
    <d v="2025-01-26T00:00:00"/>
    <s v="F"/>
    <x v="3"/>
    <x v="0"/>
    <x v="0"/>
    <x v="3"/>
    <x v="1"/>
    <x v="3"/>
    <x v="2"/>
  </r>
  <r>
    <x v="558"/>
    <x v="1"/>
    <x v="0"/>
    <n v="40.299999999999997"/>
    <n v="40.299999999999997"/>
    <x v="23"/>
    <d v="2025-01-25T00:00:00"/>
    <s v="M"/>
    <x v="0"/>
    <x v="1"/>
    <x v="0"/>
    <x v="3"/>
    <x v="3"/>
    <x v="3"/>
    <x v="1"/>
  </r>
  <r>
    <x v="559"/>
    <x v="2"/>
    <x v="2"/>
    <n v="91.3"/>
    <n v="273.89999999999998"/>
    <x v="23"/>
    <d v="2025-01-29T00:00:00"/>
    <s v="M"/>
    <x v="0"/>
    <x v="2"/>
    <x v="0"/>
    <x v="6"/>
    <x v="0"/>
    <x v="3"/>
    <x v="1"/>
  </r>
  <r>
    <x v="560"/>
    <x v="0"/>
    <x v="2"/>
    <n v="11.9"/>
    <n v="35.700000000000003"/>
    <x v="23"/>
    <d v="2025-01-25T00:00:00"/>
    <s v="F"/>
    <x v="0"/>
    <x v="1"/>
    <x v="0"/>
    <x v="6"/>
    <x v="3"/>
    <x v="3"/>
    <x v="2"/>
  </r>
  <r>
    <x v="561"/>
    <x v="2"/>
    <x v="1"/>
    <n v="63.5"/>
    <n v="127"/>
    <x v="23"/>
    <d v="2025-01-26T00:00:00"/>
    <s v="M"/>
    <x v="1"/>
    <x v="0"/>
    <x v="0"/>
    <x v="6"/>
    <x v="1"/>
    <x v="3"/>
    <x v="1"/>
  </r>
  <r>
    <x v="562"/>
    <x v="4"/>
    <x v="1"/>
    <n v="27.1"/>
    <n v="54.2"/>
    <x v="23"/>
    <d v="2025-01-27T00:00:00"/>
    <s v="M"/>
    <x v="2"/>
    <x v="2"/>
    <x v="0"/>
    <x v="6"/>
    <x v="2"/>
    <x v="3"/>
    <x v="1"/>
  </r>
  <r>
    <x v="563"/>
    <x v="1"/>
    <x v="1"/>
    <n v="82.1"/>
    <n v="164.2"/>
    <x v="24"/>
    <d v="2025-01-28T00:00:00"/>
    <s v="M"/>
    <x v="1"/>
    <x v="1"/>
    <x v="0"/>
    <x v="7"/>
    <x v="2"/>
    <x v="3"/>
    <x v="1"/>
  </r>
  <r>
    <x v="564"/>
    <x v="3"/>
    <x v="9"/>
    <n v="42.9"/>
    <n v="214.5"/>
    <x v="24"/>
    <d v="2025-01-27T00:00:00"/>
    <s v="F"/>
    <x v="1"/>
    <x v="0"/>
    <x v="0"/>
    <x v="8"/>
    <x v="1"/>
    <x v="3"/>
    <x v="2"/>
  </r>
  <r>
    <x v="565"/>
    <x v="8"/>
    <x v="5"/>
    <n v="37.9"/>
    <n v="416.9"/>
    <x v="24"/>
    <d v="2025-02-01T00:00:00"/>
    <s v="M"/>
    <x v="0"/>
    <x v="0"/>
    <x v="0"/>
    <x v="8"/>
    <x v="6"/>
    <x v="3"/>
    <x v="1"/>
  </r>
  <r>
    <x v="566"/>
    <x v="0"/>
    <x v="0"/>
    <n v="22.4"/>
    <n v="22.4"/>
    <x v="24"/>
    <d v="2025-01-26T00:00:00"/>
    <s v="F"/>
    <x v="0"/>
    <x v="1"/>
    <x v="0"/>
    <x v="17"/>
    <x v="3"/>
    <x v="3"/>
    <x v="2"/>
  </r>
  <r>
    <x v="567"/>
    <x v="2"/>
    <x v="15"/>
    <n v="79.900000000000006"/>
    <n v="1038.7"/>
    <x v="24"/>
    <d v="2025-02-07T00:00:00"/>
    <s v="F"/>
    <x v="3"/>
    <x v="1"/>
    <x v="0"/>
    <x v="11"/>
    <x v="10"/>
    <x v="3"/>
    <x v="2"/>
  </r>
  <r>
    <x v="568"/>
    <x v="1"/>
    <x v="0"/>
    <n v="70.599999999999994"/>
    <n v="70.599999999999994"/>
    <x v="24"/>
    <d v="2025-01-28T00:00:00"/>
    <s v="F"/>
    <x v="0"/>
    <x v="1"/>
    <x v="0"/>
    <x v="11"/>
    <x v="2"/>
    <x v="3"/>
    <x v="2"/>
  </r>
  <r>
    <x v="569"/>
    <x v="6"/>
    <x v="0"/>
    <n v="49.5"/>
    <n v="49.5"/>
    <x v="24"/>
    <d v="2025-01-27T00:00:00"/>
    <s v="M"/>
    <x v="0"/>
    <x v="0"/>
    <x v="0"/>
    <x v="13"/>
    <x v="1"/>
    <x v="3"/>
    <x v="1"/>
  </r>
  <r>
    <x v="570"/>
    <x v="2"/>
    <x v="1"/>
    <n v="96.6"/>
    <n v="193.2"/>
    <x v="24"/>
    <d v="2025-01-27T00:00:00"/>
    <s v="M"/>
    <x v="0"/>
    <x v="0"/>
    <x v="0"/>
    <x v="21"/>
    <x v="1"/>
    <x v="3"/>
    <x v="1"/>
  </r>
  <r>
    <x v="571"/>
    <x v="6"/>
    <x v="1"/>
    <n v="52.8"/>
    <n v="105.6"/>
    <x v="24"/>
    <d v="2025-01-26T00:00:00"/>
    <s v="F"/>
    <x v="1"/>
    <x v="1"/>
    <x v="0"/>
    <x v="21"/>
    <x v="3"/>
    <x v="3"/>
    <x v="2"/>
  </r>
  <r>
    <x v="572"/>
    <x v="2"/>
    <x v="0"/>
    <n v="101.7"/>
    <n v="101.7"/>
    <x v="24"/>
    <d v="2025-01-26T00:00:00"/>
    <s v="M"/>
    <x v="0"/>
    <x v="0"/>
    <x v="0"/>
    <x v="1"/>
    <x v="3"/>
    <x v="3"/>
    <x v="1"/>
  </r>
  <r>
    <x v="573"/>
    <x v="4"/>
    <x v="9"/>
    <n v="26.9"/>
    <n v="134.5"/>
    <x v="24"/>
    <d v="2025-01-30T00:00:00"/>
    <s v="F"/>
    <x v="1"/>
    <x v="1"/>
    <x v="0"/>
    <x v="22"/>
    <x v="0"/>
    <x v="3"/>
    <x v="2"/>
  </r>
  <r>
    <x v="574"/>
    <x v="2"/>
    <x v="12"/>
    <n v="211"/>
    <n v="844"/>
    <x v="24"/>
    <d v="2025-01-25T00:00:00"/>
    <s v="F"/>
    <x v="1"/>
    <x v="1"/>
    <x v="0"/>
    <x v="3"/>
    <x v="7"/>
    <x v="3"/>
    <x v="2"/>
  </r>
  <r>
    <x v="575"/>
    <x v="0"/>
    <x v="12"/>
    <n v="21.1"/>
    <n v="84.4"/>
    <x v="24"/>
    <d v="2025-01-28T00:00:00"/>
    <s v="M"/>
    <x v="4"/>
    <x v="0"/>
    <x v="0"/>
    <x v="3"/>
    <x v="2"/>
    <x v="3"/>
    <x v="1"/>
  </r>
  <r>
    <x v="576"/>
    <x v="10"/>
    <x v="0"/>
    <n v="26.6"/>
    <n v="26.6"/>
    <x v="24"/>
    <d v="2025-01-27T00:00:00"/>
    <s v="M"/>
    <x v="0"/>
    <x v="4"/>
    <x v="0"/>
    <x v="3"/>
    <x v="1"/>
    <x v="3"/>
    <x v="1"/>
  </r>
  <r>
    <x v="577"/>
    <x v="12"/>
    <x v="12"/>
    <n v="51.2"/>
    <n v="204.8"/>
    <x v="24"/>
    <d v="2025-01-26T00:00:00"/>
    <s v="F"/>
    <x v="3"/>
    <x v="0"/>
    <x v="0"/>
    <x v="47"/>
    <x v="3"/>
    <x v="3"/>
    <x v="2"/>
  </r>
  <r>
    <x v="578"/>
    <x v="0"/>
    <x v="9"/>
    <n v="10.6"/>
    <n v="53"/>
    <x v="24"/>
    <d v="2025-01-29T00:00:00"/>
    <s v="F"/>
    <x v="0"/>
    <x v="0"/>
    <x v="0"/>
    <x v="8"/>
    <x v="5"/>
    <x v="3"/>
    <x v="2"/>
  </r>
  <r>
    <x v="579"/>
    <x v="6"/>
    <x v="2"/>
    <n v="43.4"/>
    <n v="130.19999999999999"/>
    <x v="24"/>
    <d v="2025-01-28T00:00:00"/>
    <s v="F"/>
    <x v="4"/>
    <x v="0"/>
    <x v="0"/>
    <x v="8"/>
    <x v="2"/>
    <x v="3"/>
    <x v="2"/>
  </r>
  <r>
    <x v="580"/>
    <x v="12"/>
    <x v="0"/>
    <n v="80"/>
    <n v="80"/>
    <x v="24"/>
    <d v="2025-01-25T00:00:00"/>
    <s v="F"/>
    <x v="0"/>
    <x v="2"/>
    <x v="0"/>
    <x v="8"/>
    <x v="7"/>
    <x v="3"/>
    <x v="2"/>
  </r>
  <r>
    <x v="581"/>
    <x v="10"/>
    <x v="12"/>
    <n v="64.7"/>
    <n v="258.8"/>
    <x v="24"/>
    <d v="2025-01-27T00:00:00"/>
    <s v="F"/>
    <x v="1"/>
    <x v="4"/>
    <x v="0"/>
    <x v="8"/>
    <x v="1"/>
    <x v="3"/>
    <x v="2"/>
  </r>
  <r>
    <x v="582"/>
    <x v="8"/>
    <x v="5"/>
    <n v="26.3"/>
    <n v="289.3"/>
    <x v="25"/>
    <d v="2025-01-26T00:00:00"/>
    <s v="F"/>
    <x v="4"/>
    <x v="1"/>
    <x v="0"/>
    <x v="26"/>
    <x v="7"/>
    <x v="4"/>
    <x v="2"/>
  </r>
  <r>
    <x v="583"/>
    <x v="10"/>
    <x v="0"/>
    <n v="28.5"/>
    <n v="28.5"/>
    <x v="25"/>
    <d v="2025-01-26T00:00:00"/>
    <s v="M"/>
    <x v="0"/>
    <x v="1"/>
    <x v="0"/>
    <x v="9"/>
    <x v="7"/>
    <x v="4"/>
    <x v="1"/>
  </r>
  <r>
    <x v="584"/>
    <x v="17"/>
    <x v="0"/>
    <n v="47.8"/>
    <n v="47.8"/>
    <x v="25"/>
    <d v="2025-01-28T00:00:00"/>
    <s v="F"/>
    <x v="0"/>
    <x v="1"/>
    <x v="0"/>
    <x v="9"/>
    <x v="1"/>
    <x v="4"/>
    <x v="2"/>
  </r>
  <r>
    <x v="585"/>
    <x v="10"/>
    <x v="2"/>
    <n v="42.8"/>
    <n v="128.39999999999998"/>
    <x v="25"/>
    <d v="2025-01-29T00:00:00"/>
    <s v="F"/>
    <x v="4"/>
    <x v="1"/>
    <x v="0"/>
    <x v="11"/>
    <x v="2"/>
    <x v="4"/>
    <x v="2"/>
  </r>
  <r>
    <x v="586"/>
    <x v="6"/>
    <x v="9"/>
    <n v="46.8"/>
    <n v="234"/>
    <x v="25"/>
    <d v="2025-01-31T00:00:00"/>
    <s v="F"/>
    <x v="1"/>
    <x v="2"/>
    <x v="0"/>
    <x v="11"/>
    <x v="0"/>
    <x v="4"/>
    <x v="2"/>
  </r>
  <r>
    <x v="587"/>
    <x v="1"/>
    <x v="7"/>
    <n v="64.099999999999994"/>
    <n v="641"/>
    <x v="25"/>
    <d v="2025-01-27T00:00:00"/>
    <s v="M"/>
    <x v="1"/>
    <x v="0"/>
    <x v="0"/>
    <x v="11"/>
    <x v="3"/>
    <x v="4"/>
    <x v="1"/>
  </r>
  <r>
    <x v="588"/>
    <x v="2"/>
    <x v="0"/>
    <n v="89.1"/>
    <n v="89.1"/>
    <x v="25"/>
    <d v="2025-01-27T00:00:00"/>
    <s v="F"/>
    <x v="0"/>
    <x v="1"/>
    <x v="0"/>
    <x v="20"/>
    <x v="3"/>
    <x v="4"/>
    <x v="2"/>
  </r>
  <r>
    <x v="589"/>
    <x v="2"/>
    <x v="2"/>
    <n v="83.1"/>
    <n v="249.29999999999998"/>
    <x v="25"/>
    <d v="2025-01-27T00:00:00"/>
    <s v="F"/>
    <x v="2"/>
    <x v="1"/>
    <x v="0"/>
    <x v="13"/>
    <x v="3"/>
    <x v="4"/>
    <x v="2"/>
  </r>
  <r>
    <x v="590"/>
    <x v="8"/>
    <x v="2"/>
    <n v="40.9"/>
    <n v="122.69999999999999"/>
    <x v="25"/>
    <d v="2025-01-27T00:00:00"/>
    <s v="M"/>
    <x v="0"/>
    <x v="0"/>
    <x v="0"/>
    <x v="1"/>
    <x v="3"/>
    <x v="4"/>
    <x v="1"/>
  </r>
  <r>
    <x v="591"/>
    <x v="2"/>
    <x v="1"/>
    <n v="125.7"/>
    <n v="251.4"/>
    <x v="25"/>
    <d v="2025-01-27T00:00:00"/>
    <s v="F"/>
    <x v="3"/>
    <x v="0"/>
    <x v="0"/>
    <x v="2"/>
    <x v="3"/>
    <x v="4"/>
    <x v="2"/>
  </r>
  <r>
    <x v="592"/>
    <x v="3"/>
    <x v="1"/>
    <n v="30.9"/>
    <n v="61.8"/>
    <x v="25"/>
    <d v="2025-01-26T00:00:00"/>
    <s v="F"/>
    <x v="2"/>
    <x v="2"/>
    <x v="0"/>
    <x v="22"/>
    <x v="7"/>
    <x v="4"/>
    <x v="2"/>
  </r>
  <r>
    <x v="593"/>
    <x v="8"/>
    <x v="1"/>
    <n v="18.3"/>
    <n v="36.6"/>
    <x v="25"/>
    <d v="2025-01-27T00:00:00"/>
    <s v="F"/>
    <x v="1"/>
    <x v="0"/>
    <x v="0"/>
    <x v="3"/>
    <x v="3"/>
    <x v="4"/>
    <x v="2"/>
  </r>
  <r>
    <x v="594"/>
    <x v="4"/>
    <x v="1"/>
    <n v="56.5"/>
    <n v="113"/>
    <x v="25"/>
    <d v="2025-01-30T00:00:00"/>
    <s v="M"/>
    <x v="2"/>
    <x v="2"/>
    <x v="0"/>
    <x v="3"/>
    <x v="5"/>
    <x v="4"/>
    <x v="1"/>
  </r>
  <r>
    <x v="595"/>
    <x v="10"/>
    <x v="3"/>
    <n v="29.9"/>
    <n v="209.29999999999998"/>
    <x v="25"/>
    <d v="2025-01-28T00:00:00"/>
    <s v="M"/>
    <x v="4"/>
    <x v="2"/>
    <x v="0"/>
    <x v="3"/>
    <x v="1"/>
    <x v="4"/>
    <x v="1"/>
  </r>
  <r>
    <x v="596"/>
    <x v="5"/>
    <x v="1"/>
    <n v="50.4"/>
    <n v="100.8"/>
    <x v="25"/>
    <d v="2025-01-27T00:00:00"/>
    <s v="F"/>
    <x v="2"/>
    <x v="0"/>
    <x v="0"/>
    <x v="3"/>
    <x v="3"/>
    <x v="4"/>
    <x v="2"/>
  </r>
  <r>
    <x v="597"/>
    <x v="2"/>
    <x v="0"/>
    <n v="85.8"/>
    <n v="85.8"/>
    <x v="25"/>
    <d v="2025-01-26T00:00:00"/>
    <s v="F"/>
    <x v="2"/>
    <x v="2"/>
    <x v="0"/>
    <x v="3"/>
    <x v="7"/>
    <x v="4"/>
    <x v="2"/>
  </r>
  <r>
    <x v="598"/>
    <x v="4"/>
    <x v="27"/>
    <n v="66.599999999999994"/>
    <n v="1065.5999999999999"/>
    <x v="25"/>
    <d v="2025-01-28T00:00:00"/>
    <s v="M"/>
    <x v="1"/>
    <x v="0"/>
    <x v="0"/>
    <x v="3"/>
    <x v="1"/>
    <x v="4"/>
    <x v="1"/>
  </r>
  <r>
    <x v="599"/>
    <x v="6"/>
    <x v="12"/>
    <n v="70.3"/>
    <n v="281.2"/>
    <x v="25"/>
    <d v="2025-01-27T00:00:00"/>
    <s v="F"/>
    <x v="0"/>
    <x v="1"/>
    <x v="0"/>
    <x v="3"/>
    <x v="3"/>
    <x v="4"/>
    <x v="2"/>
  </r>
  <r>
    <x v="600"/>
    <x v="8"/>
    <x v="12"/>
    <n v="31"/>
    <n v="124"/>
    <x v="25"/>
    <d v="2025-01-29T00:00:00"/>
    <s v="M"/>
    <x v="0"/>
    <x v="2"/>
    <x v="0"/>
    <x v="3"/>
    <x v="2"/>
    <x v="4"/>
    <x v="1"/>
  </r>
  <r>
    <x v="601"/>
    <x v="7"/>
    <x v="13"/>
    <n v="81.599999999999994"/>
    <n v="489.59999999999997"/>
    <x v="25"/>
    <d v="2025-01-27T00:00:00"/>
    <s v="F"/>
    <x v="1"/>
    <x v="1"/>
    <x v="0"/>
    <x v="37"/>
    <x v="3"/>
    <x v="4"/>
    <x v="2"/>
  </r>
  <r>
    <x v="602"/>
    <x v="1"/>
    <x v="30"/>
    <n v="58.3"/>
    <n v="1457.5"/>
    <x v="25"/>
    <d v="2025-01-27T00:00:00"/>
    <s v="F"/>
    <x v="0"/>
    <x v="0"/>
    <x v="0"/>
    <x v="16"/>
    <x v="3"/>
    <x v="4"/>
    <x v="2"/>
  </r>
  <r>
    <x v="603"/>
    <x v="1"/>
    <x v="12"/>
    <n v="35.1"/>
    <n v="140.4"/>
    <x v="25"/>
    <d v="2025-01-28T00:00:00"/>
    <s v="M"/>
    <x v="0"/>
    <x v="2"/>
    <x v="0"/>
    <x v="8"/>
    <x v="1"/>
    <x v="4"/>
    <x v="1"/>
  </r>
  <r>
    <x v="604"/>
    <x v="2"/>
    <x v="0"/>
    <n v="80.2"/>
    <n v="80.2"/>
    <x v="25"/>
    <d v="2025-01-27T00:00:00"/>
    <s v="M"/>
    <x v="3"/>
    <x v="2"/>
    <x v="0"/>
    <x v="8"/>
    <x v="3"/>
    <x v="4"/>
    <x v="1"/>
  </r>
  <r>
    <x v="605"/>
    <x v="14"/>
    <x v="2"/>
    <n v="39.200000000000003"/>
    <n v="117.60000000000001"/>
    <x v="25"/>
    <d v="2025-01-28T00:00:00"/>
    <s v="F"/>
    <x v="1"/>
    <x v="0"/>
    <x v="0"/>
    <x v="9"/>
    <x v="1"/>
    <x v="4"/>
    <x v="2"/>
  </r>
  <r>
    <x v="606"/>
    <x v="0"/>
    <x v="1"/>
    <n v="15.4"/>
    <n v="30.8"/>
    <x v="25"/>
    <d v="2025-01-26T00:00:00"/>
    <s v="F"/>
    <x v="3"/>
    <x v="0"/>
    <x v="0"/>
    <x v="48"/>
    <x v="7"/>
    <x v="4"/>
    <x v="2"/>
  </r>
  <r>
    <x v="607"/>
    <x v="3"/>
    <x v="2"/>
    <n v="65.400000000000006"/>
    <n v="196.20000000000002"/>
    <x v="25"/>
    <d v="2025-01-29T00:00:00"/>
    <s v="M"/>
    <x v="3"/>
    <x v="0"/>
    <x v="0"/>
    <x v="18"/>
    <x v="2"/>
    <x v="4"/>
    <x v="1"/>
  </r>
  <r>
    <x v="608"/>
    <x v="1"/>
    <x v="8"/>
    <n v="63.2"/>
    <n v="505.6"/>
    <x v="25"/>
    <d v="2025-01-28T00:00:00"/>
    <s v="F"/>
    <x v="1"/>
    <x v="0"/>
    <x v="0"/>
    <x v="19"/>
    <x v="1"/>
    <x v="4"/>
    <x v="2"/>
  </r>
  <r>
    <x v="609"/>
    <x v="1"/>
    <x v="13"/>
    <n v="35.700000000000003"/>
    <n v="214.20000000000002"/>
    <x v="25"/>
    <d v="2025-01-30T00:00:00"/>
    <s v="F"/>
    <x v="4"/>
    <x v="1"/>
    <x v="0"/>
    <x v="19"/>
    <x v="5"/>
    <x v="4"/>
    <x v="2"/>
  </r>
  <r>
    <x v="610"/>
    <x v="0"/>
    <x v="28"/>
    <n v="26.2"/>
    <n v="524"/>
    <x v="25"/>
    <d v="2025-01-27T00:00:00"/>
    <s v="F"/>
    <x v="3"/>
    <x v="0"/>
    <x v="0"/>
    <x v="21"/>
    <x v="3"/>
    <x v="4"/>
    <x v="2"/>
  </r>
  <r>
    <x v="611"/>
    <x v="7"/>
    <x v="1"/>
    <n v="31"/>
    <n v="62"/>
    <x v="25"/>
    <d v="2025-01-27T00:00:00"/>
    <s v="F"/>
    <x v="0"/>
    <x v="2"/>
    <x v="0"/>
    <x v="1"/>
    <x v="3"/>
    <x v="4"/>
    <x v="2"/>
  </r>
  <r>
    <x v="612"/>
    <x v="8"/>
    <x v="12"/>
    <n v="37.700000000000003"/>
    <n v="150.80000000000001"/>
    <x v="25"/>
    <d v="2025-01-27T00:00:00"/>
    <s v="F"/>
    <x v="1"/>
    <x v="0"/>
    <x v="0"/>
    <x v="22"/>
    <x v="3"/>
    <x v="4"/>
    <x v="2"/>
  </r>
  <r>
    <x v="613"/>
    <x v="10"/>
    <x v="33"/>
    <n v="43.6"/>
    <n v="1482.4"/>
    <x v="25"/>
    <d v="2025-01-28T00:00:00"/>
    <s v="F"/>
    <x v="4"/>
    <x v="1"/>
    <x v="0"/>
    <x v="3"/>
    <x v="1"/>
    <x v="4"/>
    <x v="2"/>
  </r>
  <r>
    <x v="614"/>
    <x v="9"/>
    <x v="12"/>
    <n v="26.5"/>
    <n v="106"/>
    <x v="25"/>
    <d v="2025-01-28T00:00:00"/>
    <s v="M"/>
    <x v="0"/>
    <x v="4"/>
    <x v="0"/>
    <x v="3"/>
    <x v="1"/>
    <x v="4"/>
    <x v="1"/>
  </r>
  <r>
    <x v="615"/>
    <x v="0"/>
    <x v="1"/>
    <n v="34.6"/>
    <n v="69.2"/>
    <x v="25"/>
    <d v="2025-01-27T00:00:00"/>
    <s v="M"/>
    <x v="4"/>
    <x v="1"/>
    <x v="0"/>
    <x v="3"/>
    <x v="3"/>
    <x v="4"/>
    <x v="1"/>
  </r>
  <r>
    <x v="616"/>
    <x v="8"/>
    <x v="1"/>
    <n v="58.2"/>
    <n v="116.4"/>
    <x v="25"/>
    <d v="2025-01-27T00:00:00"/>
    <s v="M"/>
    <x v="2"/>
    <x v="2"/>
    <x v="0"/>
    <x v="3"/>
    <x v="3"/>
    <x v="4"/>
    <x v="1"/>
  </r>
  <r>
    <x v="617"/>
    <x v="7"/>
    <x v="0"/>
    <n v="30.2"/>
    <n v="30.2"/>
    <x v="26"/>
    <d v="2025-01-28T00:00:00"/>
    <s v="F"/>
    <x v="2"/>
    <x v="1"/>
    <x v="0"/>
    <x v="3"/>
    <x v="3"/>
    <x v="4"/>
    <x v="2"/>
  </r>
  <r>
    <x v="618"/>
    <x v="1"/>
    <x v="7"/>
    <n v="53.2"/>
    <n v="532"/>
    <x v="26"/>
    <d v="2025-01-28T00:00:00"/>
    <s v="M"/>
    <x v="0"/>
    <x v="2"/>
    <x v="0"/>
    <x v="5"/>
    <x v="3"/>
    <x v="4"/>
    <x v="1"/>
  </r>
  <r>
    <x v="619"/>
    <x v="12"/>
    <x v="13"/>
    <n v="51.1"/>
    <n v="306.60000000000002"/>
    <x v="26"/>
    <d v="2025-01-27T00:00:00"/>
    <s v="M"/>
    <x v="1"/>
    <x v="2"/>
    <x v="0"/>
    <x v="5"/>
    <x v="7"/>
    <x v="4"/>
    <x v="1"/>
  </r>
  <r>
    <x v="620"/>
    <x v="1"/>
    <x v="0"/>
    <n v="105.4"/>
    <n v="105.4"/>
    <x v="26"/>
    <d v="2025-01-31T00:00:00"/>
    <s v="F"/>
    <x v="1"/>
    <x v="2"/>
    <x v="0"/>
    <x v="23"/>
    <x v="5"/>
    <x v="4"/>
    <x v="2"/>
  </r>
  <r>
    <x v="621"/>
    <x v="7"/>
    <x v="0"/>
    <n v="57.7"/>
    <n v="57.7"/>
    <x v="26"/>
    <d v="2025-01-27T00:00:00"/>
    <s v="M"/>
    <x v="0"/>
    <x v="4"/>
    <x v="0"/>
    <x v="8"/>
    <x v="7"/>
    <x v="4"/>
    <x v="1"/>
  </r>
  <r>
    <x v="622"/>
    <x v="15"/>
    <x v="1"/>
    <n v="72.400000000000006"/>
    <n v="144.80000000000001"/>
    <x v="26"/>
    <d v="2025-02-01T00:00:00"/>
    <s v="F"/>
    <x v="0"/>
    <x v="0"/>
    <x v="0"/>
    <x v="17"/>
    <x v="0"/>
    <x v="4"/>
    <x v="2"/>
  </r>
  <r>
    <x v="623"/>
    <x v="6"/>
    <x v="1"/>
    <n v="62.5"/>
    <n v="125"/>
    <x v="26"/>
    <d v="2025-01-28T00:00:00"/>
    <s v=""/>
    <x v="0"/>
    <x v="2"/>
    <x v="0"/>
    <x v="11"/>
    <x v="3"/>
    <x v="4"/>
    <x v="0"/>
  </r>
  <r>
    <x v="624"/>
    <x v="0"/>
    <x v="32"/>
    <n v="11.6"/>
    <n v="255.2"/>
    <x v="26"/>
    <d v="2025-01-29T00:00:00"/>
    <s v="F"/>
    <x v="3"/>
    <x v="2"/>
    <x v="0"/>
    <x v="18"/>
    <x v="1"/>
    <x v="4"/>
    <x v="2"/>
  </r>
  <r>
    <x v="625"/>
    <x v="10"/>
    <x v="7"/>
    <n v="39.6"/>
    <n v="396"/>
    <x v="26"/>
    <d v="2025-01-29T00:00:00"/>
    <s v="F"/>
    <x v="2"/>
    <x v="2"/>
    <x v="0"/>
    <x v="18"/>
    <x v="1"/>
    <x v="4"/>
    <x v="2"/>
  </r>
  <r>
    <x v="626"/>
    <x v="8"/>
    <x v="1"/>
    <n v="40.1"/>
    <n v="80.2"/>
    <x v="26"/>
    <d v="2025-01-28T00:00:00"/>
    <s v="F"/>
    <x v="2"/>
    <x v="0"/>
    <x v="0"/>
    <x v="18"/>
    <x v="3"/>
    <x v="4"/>
    <x v="2"/>
  </r>
  <r>
    <x v="627"/>
    <x v="8"/>
    <x v="2"/>
    <n v="18.600000000000001"/>
    <n v="55.800000000000004"/>
    <x v="26"/>
    <d v="2025-01-28T00:00:00"/>
    <s v="F"/>
    <x v="2"/>
    <x v="0"/>
    <x v="0"/>
    <x v="21"/>
    <x v="3"/>
    <x v="4"/>
    <x v="2"/>
  </r>
  <r>
    <x v="628"/>
    <x v="4"/>
    <x v="0"/>
    <n v="58.8"/>
    <n v="58.8"/>
    <x v="26"/>
    <d v="2025-01-29T00:00:00"/>
    <s v="F"/>
    <x v="0"/>
    <x v="1"/>
    <x v="0"/>
    <x v="21"/>
    <x v="1"/>
    <x v="4"/>
    <x v="2"/>
  </r>
  <r>
    <x v="629"/>
    <x v="8"/>
    <x v="1"/>
    <n v="22.1"/>
    <n v="44.2"/>
    <x v="26"/>
    <d v="2025-01-30T00:00:00"/>
    <s v="M"/>
    <x v="1"/>
    <x v="2"/>
    <x v="0"/>
    <x v="21"/>
    <x v="2"/>
    <x v="4"/>
    <x v="1"/>
  </r>
  <r>
    <x v="630"/>
    <x v="2"/>
    <x v="0"/>
    <n v="114.9"/>
    <n v="114.9"/>
    <x v="27"/>
    <d v="2025-01-29T00:00:00"/>
    <s v="F"/>
    <x v="1"/>
    <x v="1"/>
    <x v="0"/>
    <x v="22"/>
    <x v="3"/>
    <x v="4"/>
    <x v="2"/>
  </r>
  <r>
    <x v="631"/>
    <x v="9"/>
    <x v="9"/>
    <n v="75.8"/>
    <n v="379"/>
    <x v="27"/>
    <d v="2025-01-29T00:00:00"/>
    <s v="M"/>
    <x v="0"/>
    <x v="2"/>
    <x v="0"/>
    <x v="3"/>
    <x v="3"/>
    <x v="4"/>
    <x v="1"/>
  </r>
  <r>
    <x v="632"/>
    <x v="14"/>
    <x v="9"/>
    <n v="20.6"/>
    <n v="103"/>
    <x v="27"/>
    <d v="2025-01-29T00:00:00"/>
    <s v="M"/>
    <x v="2"/>
    <x v="2"/>
    <x v="0"/>
    <x v="3"/>
    <x v="3"/>
    <x v="4"/>
    <x v="1"/>
  </r>
  <r>
    <x v="633"/>
    <x v="17"/>
    <x v="2"/>
    <n v="67.900000000000006"/>
    <n v="203.70000000000002"/>
    <x v="27"/>
    <d v="2025-01-29T00:00:00"/>
    <s v="F"/>
    <x v="1"/>
    <x v="1"/>
    <x v="0"/>
    <x v="3"/>
    <x v="3"/>
    <x v="4"/>
    <x v="2"/>
  </r>
  <r>
    <x v="634"/>
    <x v="0"/>
    <x v="9"/>
    <n v="27"/>
    <n v="135"/>
    <x v="27"/>
    <d v="2025-02-04T00:00:00"/>
    <s v="F"/>
    <x v="0"/>
    <x v="2"/>
    <x v="0"/>
    <x v="3"/>
    <x v="6"/>
    <x v="4"/>
    <x v="2"/>
  </r>
  <r>
    <x v="635"/>
    <x v="13"/>
    <x v="0"/>
    <n v="50.6"/>
    <n v="50.6"/>
    <x v="27"/>
    <d v="2025-01-28T00:00:00"/>
    <s v="M"/>
    <x v="0"/>
    <x v="1"/>
    <x v="0"/>
    <x v="3"/>
    <x v="7"/>
    <x v="4"/>
    <x v="1"/>
  </r>
  <r>
    <x v="636"/>
    <x v="4"/>
    <x v="9"/>
    <n v="22.1"/>
    <n v="110.5"/>
    <x v="27"/>
    <d v="2025-02-02T00:00:00"/>
    <s v="M"/>
    <x v="0"/>
    <x v="0"/>
    <x v="0"/>
    <x v="3"/>
    <x v="0"/>
    <x v="4"/>
    <x v="1"/>
  </r>
  <r>
    <x v="637"/>
    <x v="8"/>
    <x v="2"/>
    <n v="42.9"/>
    <n v="128.69999999999999"/>
    <x v="27"/>
    <d v="2025-01-30T00:00:00"/>
    <s v="F"/>
    <x v="0"/>
    <x v="0"/>
    <x v="0"/>
    <x v="3"/>
    <x v="1"/>
    <x v="4"/>
    <x v="2"/>
  </r>
  <r>
    <x v="638"/>
    <x v="1"/>
    <x v="5"/>
    <n v="62.4"/>
    <n v="686.4"/>
    <x v="27"/>
    <d v="2025-01-30T00:00:00"/>
    <s v="F"/>
    <x v="2"/>
    <x v="0"/>
    <x v="0"/>
    <x v="3"/>
    <x v="1"/>
    <x v="4"/>
    <x v="2"/>
  </r>
  <r>
    <x v="639"/>
    <x v="13"/>
    <x v="11"/>
    <n v="36.4"/>
    <n v="327.59999999999997"/>
    <x v="27"/>
    <d v="2025-01-30T00:00:00"/>
    <s v="F"/>
    <x v="0"/>
    <x v="2"/>
    <x v="0"/>
    <x v="3"/>
    <x v="1"/>
    <x v="4"/>
    <x v="2"/>
  </r>
  <r>
    <x v="640"/>
    <x v="0"/>
    <x v="1"/>
    <n v="22.5"/>
    <n v="45"/>
    <x v="27"/>
    <d v="2025-01-31T00:00:00"/>
    <s v="M"/>
    <x v="0"/>
    <x v="0"/>
    <x v="0"/>
    <x v="3"/>
    <x v="2"/>
    <x v="4"/>
    <x v="1"/>
  </r>
  <r>
    <x v="641"/>
    <x v="6"/>
    <x v="12"/>
    <n v="70.8"/>
    <n v="283.2"/>
    <x v="27"/>
    <d v="2025-01-30T00:00:00"/>
    <s v="F"/>
    <x v="4"/>
    <x v="0"/>
    <x v="0"/>
    <x v="3"/>
    <x v="1"/>
    <x v="4"/>
    <x v="2"/>
  </r>
  <r>
    <x v="642"/>
    <x v="6"/>
    <x v="9"/>
    <n v="56.6"/>
    <n v="283"/>
    <x v="27"/>
    <d v="2025-01-30T00:00:00"/>
    <s v="M"/>
    <x v="0"/>
    <x v="1"/>
    <x v="0"/>
    <x v="4"/>
    <x v="1"/>
    <x v="4"/>
    <x v="1"/>
  </r>
  <r>
    <x v="643"/>
    <x v="6"/>
    <x v="1"/>
    <n v="47.9"/>
    <n v="95.8"/>
    <x v="27"/>
    <d v="2025-01-29T00:00:00"/>
    <s v="F"/>
    <x v="0"/>
    <x v="0"/>
    <x v="0"/>
    <x v="6"/>
    <x v="3"/>
    <x v="4"/>
    <x v="2"/>
  </r>
  <r>
    <x v="644"/>
    <x v="6"/>
    <x v="8"/>
    <n v="78.400000000000006"/>
    <n v="627.20000000000005"/>
    <x v="27"/>
    <d v="2025-01-30T00:00:00"/>
    <s v="F"/>
    <x v="1"/>
    <x v="0"/>
    <x v="0"/>
    <x v="6"/>
    <x v="1"/>
    <x v="4"/>
    <x v="2"/>
  </r>
  <r>
    <x v="645"/>
    <x v="2"/>
    <x v="21"/>
    <n v="122.1"/>
    <n v="1709.3999999999999"/>
    <x v="27"/>
    <d v="2025-02-02T00:00:00"/>
    <s v="F"/>
    <x v="0"/>
    <x v="2"/>
    <x v="0"/>
    <x v="6"/>
    <x v="0"/>
    <x v="4"/>
    <x v="2"/>
  </r>
  <r>
    <x v="646"/>
    <x v="2"/>
    <x v="1"/>
    <n v="83.7"/>
    <n v="167.4"/>
    <x v="28"/>
    <d v="2025-01-29T00:00:00"/>
    <s v=""/>
    <x v="1"/>
    <x v="2"/>
    <x v="0"/>
    <x v="7"/>
    <x v="7"/>
    <x v="4"/>
    <x v="0"/>
  </r>
  <r>
    <x v="647"/>
    <x v="3"/>
    <x v="12"/>
    <n v="97.9"/>
    <n v="391.6"/>
    <x v="28"/>
    <d v="2025-02-02T00:00:00"/>
    <s v="F"/>
    <x v="3"/>
    <x v="2"/>
    <x v="0"/>
    <x v="7"/>
    <x v="5"/>
    <x v="4"/>
    <x v="2"/>
  </r>
  <r>
    <x v="648"/>
    <x v="14"/>
    <x v="0"/>
    <n v="15"/>
    <n v="15"/>
    <x v="28"/>
    <d v="2025-02-03T00:00:00"/>
    <s v="F"/>
    <x v="3"/>
    <x v="0"/>
    <x v="0"/>
    <x v="8"/>
    <x v="0"/>
    <x v="4"/>
    <x v="2"/>
  </r>
  <r>
    <x v="649"/>
    <x v="12"/>
    <x v="2"/>
    <n v="94.6"/>
    <n v="283.79999999999995"/>
    <x v="28"/>
    <d v="2025-01-30T00:00:00"/>
    <s v="M"/>
    <x v="2"/>
    <x v="1"/>
    <x v="0"/>
    <x v="8"/>
    <x v="3"/>
    <x v="4"/>
    <x v="1"/>
  </r>
  <r>
    <x v="650"/>
    <x v="0"/>
    <x v="13"/>
    <n v="19.7"/>
    <n v="118.19999999999999"/>
    <x v="28"/>
    <d v="2025-02-09T00:00:00"/>
    <s v="F"/>
    <x v="0"/>
    <x v="2"/>
    <x v="0"/>
    <x v="8"/>
    <x v="11"/>
    <x v="4"/>
    <x v="2"/>
  </r>
  <r>
    <x v="651"/>
    <x v="7"/>
    <x v="0"/>
    <n v="46.7"/>
    <n v="46.7"/>
    <x v="28"/>
    <d v="2025-02-01T00:00:00"/>
    <s v="F"/>
    <x v="2"/>
    <x v="0"/>
    <x v="0"/>
    <x v="17"/>
    <x v="2"/>
    <x v="4"/>
    <x v="2"/>
  </r>
  <r>
    <x v="652"/>
    <x v="1"/>
    <x v="12"/>
    <n v="43"/>
    <n v="172"/>
    <x v="28"/>
    <d v="2025-01-30T00:00:00"/>
    <s v="M"/>
    <x v="2"/>
    <x v="2"/>
    <x v="0"/>
    <x v="17"/>
    <x v="3"/>
    <x v="4"/>
    <x v="1"/>
  </r>
  <r>
    <x v="653"/>
    <x v="6"/>
    <x v="2"/>
    <n v="68.2"/>
    <n v="204.60000000000002"/>
    <x v="28"/>
    <d v="2025-02-04T00:00:00"/>
    <s v="F"/>
    <x v="0"/>
    <x v="0"/>
    <x v="0"/>
    <x v="9"/>
    <x v="4"/>
    <x v="4"/>
    <x v="2"/>
  </r>
  <r>
    <x v="654"/>
    <x v="10"/>
    <x v="7"/>
    <n v="24.3"/>
    <n v="243"/>
    <x v="28"/>
    <d v="2025-01-30T00:00:00"/>
    <s v="M"/>
    <x v="0"/>
    <x v="2"/>
    <x v="0"/>
    <x v="10"/>
    <x v="3"/>
    <x v="4"/>
    <x v="1"/>
  </r>
  <r>
    <x v="655"/>
    <x v="7"/>
    <x v="1"/>
    <n v="86.8"/>
    <n v="173.6"/>
    <x v="28"/>
    <d v="2025-02-02T00:00:00"/>
    <s v="F"/>
    <x v="4"/>
    <x v="2"/>
    <x v="0"/>
    <x v="11"/>
    <x v="5"/>
    <x v="4"/>
    <x v="2"/>
  </r>
  <r>
    <x v="656"/>
    <x v="0"/>
    <x v="1"/>
    <n v="15.8"/>
    <n v="31.6"/>
    <x v="28"/>
    <d v="2025-01-31T00:00:00"/>
    <s v="M"/>
    <x v="1"/>
    <x v="0"/>
    <x v="0"/>
    <x v="11"/>
    <x v="1"/>
    <x v="4"/>
    <x v="1"/>
  </r>
  <r>
    <x v="657"/>
    <x v="2"/>
    <x v="12"/>
    <n v="61.6"/>
    <n v="246.4"/>
    <x v="28"/>
    <d v="2025-01-30T00:00:00"/>
    <s v="M"/>
    <x v="2"/>
    <x v="0"/>
    <x v="0"/>
    <x v="11"/>
    <x v="3"/>
    <x v="4"/>
    <x v="1"/>
  </r>
  <r>
    <x v="658"/>
    <x v="6"/>
    <x v="2"/>
    <n v="48.7"/>
    <n v="146.10000000000002"/>
    <x v="28"/>
    <d v="2025-02-04T00:00:00"/>
    <s v="F"/>
    <x v="1"/>
    <x v="2"/>
    <x v="0"/>
    <x v="45"/>
    <x v="4"/>
    <x v="4"/>
    <x v="2"/>
  </r>
  <r>
    <x v="659"/>
    <x v="8"/>
    <x v="12"/>
    <n v="24.3"/>
    <n v="97.2"/>
    <x v="28"/>
    <d v="2025-01-31T00:00:00"/>
    <s v="F"/>
    <x v="1"/>
    <x v="2"/>
    <x v="0"/>
    <x v="21"/>
    <x v="1"/>
    <x v="4"/>
    <x v="2"/>
  </r>
  <r>
    <x v="660"/>
    <x v="2"/>
    <x v="1"/>
    <n v="130.69999999999999"/>
    <n v="261.39999999999998"/>
    <x v="28"/>
    <d v="2025-01-30T00:00:00"/>
    <s v="F"/>
    <x v="2"/>
    <x v="0"/>
    <x v="0"/>
    <x v="44"/>
    <x v="3"/>
    <x v="4"/>
    <x v="2"/>
  </r>
  <r>
    <x v="661"/>
    <x v="10"/>
    <x v="0"/>
    <n v="26"/>
    <n v="26"/>
    <x v="28"/>
    <d v="2025-01-31T00:00:00"/>
    <s v="M"/>
    <x v="0"/>
    <x v="0"/>
    <x v="0"/>
    <x v="3"/>
    <x v="1"/>
    <x v="4"/>
    <x v="1"/>
  </r>
  <r>
    <x v="662"/>
    <x v="2"/>
    <x v="9"/>
    <n v="94.4"/>
    <n v="472"/>
    <x v="28"/>
    <d v="2025-01-30T00:00:00"/>
    <s v="F"/>
    <x v="0"/>
    <x v="0"/>
    <x v="0"/>
    <x v="3"/>
    <x v="3"/>
    <x v="4"/>
    <x v="2"/>
  </r>
  <r>
    <x v="663"/>
    <x v="0"/>
    <x v="13"/>
    <n v="23.7"/>
    <n v="142.19999999999999"/>
    <x v="28"/>
    <d v="2025-01-31T00:00:00"/>
    <s v="M"/>
    <x v="2"/>
    <x v="2"/>
    <x v="0"/>
    <x v="3"/>
    <x v="1"/>
    <x v="4"/>
    <x v="1"/>
  </r>
  <r>
    <x v="664"/>
    <x v="9"/>
    <x v="4"/>
    <n v="37.4"/>
    <n v="448.79999999999995"/>
    <x v="28"/>
    <d v="2025-01-31T00:00:00"/>
    <s v="M"/>
    <x v="2"/>
    <x v="0"/>
    <x v="0"/>
    <x v="3"/>
    <x v="1"/>
    <x v="4"/>
    <x v="1"/>
  </r>
  <r>
    <x v="665"/>
    <x v="1"/>
    <x v="34"/>
    <n v="55.2"/>
    <n v="1987.2"/>
    <x v="28"/>
    <d v="2025-01-29T00:00:00"/>
    <s v="F"/>
    <x v="3"/>
    <x v="1"/>
    <x v="0"/>
    <x v="3"/>
    <x v="7"/>
    <x v="4"/>
    <x v="2"/>
  </r>
  <r>
    <x v="666"/>
    <x v="2"/>
    <x v="11"/>
    <n v="57.1"/>
    <n v="513.9"/>
    <x v="28"/>
    <d v="2025-01-31T00:00:00"/>
    <s v="M"/>
    <x v="0"/>
    <x v="2"/>
    <x v="0"/>
    <x v="3"/>
    <x v="1"/>
    <x v="4"/>
    <x v="1"/>
  </r>
  <r>
    <x v="667"/>
    <x v="12"/>
    <x v="0"/>
    <n v="55.3"/>
    <n v="55.3"/>
    <x v="28"/>
    <d v="2025-01-30T00:00:00"/>
    <s v="F"/>
    <x v="2"/>
    <x v="2"/>
    <x v="0"/>
    <x v="3"/>
    <x v="3"/>
    <x v="4"/>
    <x v="2"/>
  </r>
  <r>
    <x v="668"/>
    <x v="15"/>
    <x v="3"/>
    <n v="23.9"/>
    <n v="167.29999999999998"/>
    <x v="28"/>
    <d v="2025-01-30T00:00:00"/>
    <s v="F"/>
    <x v="4"/>
    <x v="1"/>
    <x v="0"/>
    <x v="3"/>
    <x v="3"/>
    <x v="4"/>
    <x v="2"/>
  </r>
  <r>
    <x v="669"/>
    <x v="0"/>
    <x v="0"/>
    <n v="34.1"/>
    <n v="34.1"/>
    <x v="28"/>
    <d v="2025-02-05T00:00:00"/>
    <s v="F"/>
    <x v="2"/>
    <x v="0"/>
    <x v="0"/>
    <x v="3"/>
    <x v="6"/>
    <x v="4"/>
    <x v="2"/>
  </r>
  <r>
    <x v="670"/>
    <x v="12"/>
    <x v="12"/>
    <n v="38.5"/>
    <n v="154"/>
    <x v="28"/>
    <d v="2025-02-09T00:00:00"/>
    <s v="F"/>
    <x v="0"/>
    <x v="0"/>
    <x v="0"/>
    <x v="3"/>
    <x v="11"/>
    <x v="4"/>
    <x v="2"/>
  </r>
  <r>
    <x v="671"/>
    <x v="7"/>
    <x v="1"/>
    <n v="105"/>
    <n v="210"/>
    <x v="28"/>
    <d v="2025-02-04T00:00:00"/>
    <s v="F"/>
    <x v="0"/>
    <x v="2"/>
    <x v="0"/>
    <x v="3"/>
    <x v="4"/>
    <x v="4"/>
    <x v="2"/>
  </r>
  <r>
    <x v="672"/>
    <x v="8"/>
    <x v="9"/>
    <n v="45.2"/>
    <n v="226"/>
    <x v="28"/>
    <d v="2025-01-31T00:00:00"/>
    <s v="F"/>
    <x v="0"/>
    <x v="2"/>
    <x v="0"/>
    <x v="3"/>
    <x v="1"/>
    <x v="4"/>
    <x v="2"/>
  </r>
  <r>
    <x v="673"/>
    <x v="17"/>
    <x v="2"/>
    <n v="24.8"/>
    <n v="74.400000000000006"/>
    <x v="28"/>
    <d v="2025-01-29T00:00:00"/>
    <s v=""/>
    <x v="0"/>
    <x v="1"/>
    <x v="0"/>
    <x v="3"/>
    <x v="7"/>
    <x v="4"/>
    <x v="0"/>
  </r>
  <r>
    <x v="674"/>
    <x v="11"/>
    <x v="12"/>
    <n v="43.8"/>
    <n v="175.2"/>
    <x v="28"/>
    <d v="2025-02-05T00:00:00"/>
    <s v="F"/>
    <x v="1"/>
    <x v="2"/>
    <x v="0"/>
    <x v="6"/>
    <x v="6"/>
    <x v="4"/>
    <x v="2"/>
  </r>
  <r>
    <x v="675"/>
    <x v="1"/>
    <x v="0"/>
    <n v="75"/>
    <n v="75"/>
    <x v="28"/>
    <d v="2025-01-31T00:00:00"/>
    <s v="F"/>
    <x v="4"/>
    <x v="1"/>
    <x v="0"/>
    <x v="6"/>
    <x v="1"/>
    <x v="4"/>
    <x v="2"/>
  </r>
  <r>
    <x v="676"/>
    <x v="2"/>
    <x v="0"/>
    <n v="169.9"/>
    <n v="169.9"/>
    <x v="28"/>
    <d v="2025-01-30T00:00:00"/>
    <s v="M"/>
    <x v="2"/>
    <x v="0"/>
    <x v="0"/>
    <x v="6"/>
    <x v="3"/>
    <x v="4"/>
    <x v="1"/>
  </r>
  <r>
    <x v="677"/>
    <x v="9"/>
    <x v="1"/>
    <n v="72.2"/>
    <n v="144.4"/>
    <x v="28"/>
    <d v="2025-01-31T00:00:00"/>
    <s v="F"/>
    <x v="4"/>
    <x v="1"/>
    <x v="0"/>
    <x v="6"/>
    <x v="1"/>
    <x v="4"/>
    <x v="2"/>
  </r>
  <r>
    <x v="678"/>
    <x v="0"/>
    <x v="0"/>
    <n v="20"/>
    <n v="20"/>
    <x v="29"/>
    <d v="2025-02-02T00:00:00"/>
    <s v="F"/>
    <x v="2"/>
    <x v="1"/>
    <x v="0"/>
    <x v="7"/>
    <x v="2"/>
    <x v="4"/>
    <x v="2"/>
  </r>
  <r>
    <x v="679"/>
    <x v="9"/>
    <x v="1"/>
    <n v="40.799999999999997"/>
    <n v="81.599999999999994"/>
    <x v="29"/>
    <d v="2025-02-01T00:00:00"/>
    <s v="F"/>
    <x v="3"/>
    <x v="2"/>
    <x v="0"/>
    <x v="8"/>
    <x v="1"/>
    <x v="4"/>
    <x v="2"/>
  </r>
  <r>
    <x v="680"/>
    <x v="10"/>
    <x v="12"/>
    <n v="58"/>
    <n v="232"/>
    <x v="29"/>
    <d v="2025-02-03T00:00:00"/>
    <s v="F"/>
    <x v="0"/>
    <x v="0"/>
    <x v="0"/>
    <x v="8"/>
    <x v="5"/>
    <x v="4"/>
    <x v="2"/>
  </r>
  <r>
    <x v="681"/>
    <x v="12"/>
    <x v="1"/>
    <n v="43.1"/>
    <n v="86.2"/>
    <x v="29"/>
    <d v="2025-01-31T00:00:00"/>
    <s v="F"/>
    <x v="1"/>
    <x v="2"/>
    <x v="0"/>
    <x v="8"/>
    <x v="3"/>
    <x v="4"/>
    <x v="2"/>
  </r>
  <r>
    <x v="682"/>
    <x v="6"/>
    <x v="11"/>
    <n v="74.7"/>
    <n v="672.30000000000007"/>
    <x v="29"/>
    <d v="2025-02-01T00:00:00"/>
    <s v="M"/>
    <x v="0"/>
    <x v="2"/>
    <x v="0"/>
    <x v="8"/>
    <x v="1"/>
    <x v="4"/>
    <x v="1"/>
  </r>
  <r>
    <x v="683"/>
    <x v="6"/>
    <x v="0"/>
    <n v="128.19999999999999"/>
    <n v="128.19999999999999"/>
    <x v="29"/>
    <d v="2025-01-30T00:00:00"/>
    <s v="M"/>
    <x v="1"/>
    <x v="0"/>
    <x v="0"/>
    <x v="8"/>
    <x v="7"/>
    <x v="4"/>
    <x v="1"/>
  </r>
  <r>
    <x v="684"/>
    <x v="14"/>
    <x v="12"/>
    <n v="26.7"/>
    <n v="106.8"/>
    <x v="29"/>
    <d v="2025-01-31T00:00:00"/>
    <s v="M"/>
    <x v="1"/>
    <x v="0"/>
    <x v="0"/>
    <x v="8"/>
    <x v="3"/>
    <x v="4"/>
    <x v="1"/>
  </r>
  <r>
    <x v="685"/>
    <x v="17"/>
    <x v="13"/>
    <n v="31.5"/>
    <n v="189"/>
    <x v="29"/>
    <d v="2025-01-31T00:00:00"/>
    <s v="F"/>
    <x v="2"/>
    <x v="0"/>
    <x v="0"/>
    <x v="17"/>
    <x v="3"/>
    <x v="4"/>
    <x v="2"/>
  </r>
  <r>
    <x v="686"/>
    <x v="3"/>
    <x v="3"/>
    <n v="64.7"/>
    <n v="452.90000000000003"/>
    <x v="29"/>
    <d v="2025-01-31T00:00:00"/>
    <s v="F"/>
    <x v="0"/>
    <x v="2"/>
    <x v="0"/>
    <x v="9"/>
    <x v="3"/>
    <x v="4"/>
    <x v="2"/>
  </r>
  <r>
    <x v="687"/>
    <x v="5"/>
    <x v="1"/>
    <n v="55.6"/>
    <n v="111.2"/>
    <x v="29"/>
    <d v="2025-02-02T00:00:00"/>
    <s v="F"/>
    <x v="3"/>
    <x v="0"/>
    <x v="0"/>
    <x v="11"/>
    <x v="2"/>
    <x v="4"/>
    <x v="2"/>
  </r>
  <r>
    <x v="688"/>
    <x v="3"/>
    <x v="1"/>
    <n v="36.200000000000003"/>
    <n v="72.400000000000006"/>
    <x v="29"/>
    <d v="2025-01-31T00:00:00"/>
    <s v="F"/>
    <x v="3"/>
    <x v="0"/>
    <x v="0"/>
    <x v="11"/>
    <x v="3"/>
    <x v="4"/>
    <x v="2"/>
  </r>
  <r>
    <x v="689"/>
    <x v="0"/>
    <x v="0"/>
    <n v="26.6"/>
    <n v="26.6"/>
    <x v="29"/>
    <d v="2025-01-31T00:00:00"/>
    <s v=""/>
    <x v="1"/>
    <x v="1"/>
    <x v="0"/>
    <x v="19"/>
    <x v="3"/>
    <x v="4"/>
    <x v="0"/>
  </r>
  <r>
    <x v="690"/>
    <x v="10"/>
    <x v="12"/>
    <n v="31.5"/>
    <n v="126"/>
    <x v="29"/>
    <d v="2025-02-01T00:00:00"/>
    <s v="M"/>
    <x v="0"/>
    <x v="0"/>
    <x v="0"/>
    <x v="31"/>
    <x v="1"/>
    <x v="4"/>
    <x v="1"/>
  </r>
  <r>
    <x v="691"/>
    <x v="10"/>
    <x v="0"/>
    <n v="27"/>
    <n v="27"/>
    <x v="29"/>
    <d v="2025-02-01T00:00:00"/>
    <s v="F"/>
    <x v="1"/>
    <x v="2"/>
    <x v="0"/>
    <x v="13"/>
    <x v="1"/>
    <x v="4"/>
    <x v="2"/>
  </r>
  <r>
    <x v="692"/>
    <x v="4"/>
    <x v="0"/>
    <n v="32"/>
    <n v="32"/>
    <x v="29"/>
    <d v="2025-02-02T00:00:00"/>
    <s v="M"/>
    <x v="3"/>
    <x v="0"/>
    <x v="0"/>
    <x v="21"/>
    <x v="2"/>
    <x v="4"/>
    <x v="1"/>
  </r>
  <r>
    <x v="693"/>
    <x v="1"/>
    <x v="2"/>
    <n v="48.1"/>
    <n v="144.30000000000001"/>
    <x v="29"/>
    <d v="2025-02-01T00:00:00"/>
    <s v="M"/>
    <x v="2"/>
    <x v="1"/>
    <x v="0"/>
    <x v="1"/>
    <x v="1"/>
    <x v="4"/>
    <x v="1"/>
  </r>
  <r>
    <x v="694"/>
    <x v="9"/>
    <x v="1"/>
    <n v="43.4"/>
    <n v="86.8"/>
    <x v="29"/>
    <d v="2025-01-31T00:00:00"/>
    <s v="M"/>
    <x v="1"/>
    <x v="1"/>
    <x v="0"/>
    <x v="22"/>
    <x v="3"/>
    <x v="4"/>
    <x v="1"/>
  </r>
  <r>
    <x v="695"/>
    <x v="6"/>
    <x v="1"/>
    <n v="42.6"/>
    <n v="85.2"/>
    <x v="29"/>
    <d v="2025-02-02T00:00:00"/>
    <s v="F"/>
    <x v="3"/>
    <x v="0"/>
    <x v="0"/>
    <x v="22"/>
    <x v="2"/>
    <x v="4"/>
    <x v="2"/>
  </r>
  <r>
    <x v="696"/>
    <x v="8"/>
    <x v="1"/>
    <n v="15.9"/>
    <n v="31.8"/>
    <x v="29"/>
    <d v="2025-01-31T00:00:00"/>
    <s v="F"/>
    <x v="0"/>
    <x v="0"/>
    <x v="0"/>
    <x v="34"/>
    <x v="3"/>
    <x v="4"/>
    <x v="2"/>
  </r>
  <r>
    <x v="697"/>
    <x v="9"/>
    <x v="1"/>
    <n v="63.2"/>
    <n v="126.4"/>
    <x v="29"/>
    <d v="2025-01-31T00:00:00"/>
    <s v="M"/>
    <x v="1"/>
    <x v="0"/>
    <x v="0"/>
    <x v="3"/>
    <x v="3"/>
    <x v="4"/>
    <x v="1"/>
  </r>
  <r>
    <x v="698"/>
    <x v="7"/>
    <x v="12"/>
    <n v="64.8"/>
    <n v="259.2"/>
    <x v="29"/>
    <d v="2025-02-01T00:00:00"/>
    <s v=""/>
    <x v="4"/>
    <x v="1"/>
    <x v="0"/>
    <x v="3"/>
    <x v="1"/>
    <x v="4"/>
    <x v="0"/>
  </r>
  <r>
    <x v="699"/>
    <x v="7"/>
    <x v="2"/>
    <n v="79.8"/>
    <n v="239.39999999999998"/>
    <x v="29"/>
    <d v="2025-01-31T00:00:00"/>
    <s v="M"/>
    <x v="0"/>
    <x v="0"/>
    <x v="0"/>
    <x v="3"/>
    <x v="3"/>
    <x v="4"/>
    <x v="1"/>
  </r>
  <r>
    <x v="700"/>
    <x v="9"/>
    <x v="0"/>
    <n v="54.4"/>
    <n v="54.4"/>
    <x v="29"/>
    <d v="2025-02-01T00:00:00"/>
    <s v="F"/>
    <x v="4"/>
    <x v="2"/>
    <x v="0"/>
    <x v="3"/>
    <x v="1"/>
    <x v="4"/>
    <x v="2"/>
  </r>
  <r>
    <x v="701"/>
    <x v="6"/>
    <x v="0"/>
    <n v="87.3"/>
    <n v="87.3"/>
    <x v="29"/>
    <d v="2025-01-31T00:00:00"/>
    <s v="M"/>
    <x v="1"/>
    <x v="0"/>
    <x v="0"/>
    <x v="3"/>
    <x v="3"/>
    <x v="4"/>
    <x v="1"/>
  </r>
  <r>
    <x v="702"/>
    <x v="8"/>
    <x v="12"/>
    <n v="32.4"/>
    <n v="129.6"/>
    <x v="29"/>
    <d v="2025-01-30T00:00:00"/>
    <s v="M"/>
    <x v="1"/>
    <x v="0"/>
    <x v="0"/>
    <x v="3"/>
    <x v="7"/>
    <x v="4"/>
    <x v="1"/>
  </r>
  <r>
    <x v="703"/>
    <x v="2"/>
    <x v="0"/>
    <n v="177.4"/>
    <n v="177.4"/>
    <x v="29"/>
    <d v="2025-02-03T00:00:00"/>
    <s v="M"/>
    <x v="0"/>
    <x v="2"/>
    <x v="0"/>
    <x v="3"/>
    <x v="5"/>
    <x v="4"/>
    <x v="1"/>
  </r>
  <r>
    <x v="704"/>
    <x v="7"/>
    <x v="1"/>
    <n v="70.099999999999994"/>
    <n v="140.19999999999999"/>
    <x v="29"/>
    <d v="2025-01-31T00:00:00"/>
    <s v="M"/>
    <x v="3"/>
    <x v="1"/>
    <x v="0"/>
    <x v="3"/>
    <x v="3"/>
    <x v="4"/>
    <x v="1"/>
  </r>
  <r>
    <x v="705"/>
    <x v="9"/>
    <x v="13"/>
    <n v="51.1"/>
    <n v="306.60000000000002"/>
    <x v="29"/>
    <d v="2025-01-31T00:00:00"/>
    <s v="F"/>
    <x v="0"/>
    <x v="0"/>
    <x v="0"/>
    <x v="3"/>
    <x v="3"/>
    <x v="4"/>
    <x v="2"/>
  </r>
  <r>
    <x v="706"/>
    <x v="2"/>
    <x v="9"/>
    <n v="79.900000000000006"/>
    <n v="399.5"/>
    <x v="29"/>
    <d v="2025-02-01T00:00:00"/>
    <s v="M"/>
    <x v="3"/>
    <x v="2"/>
    <x v="0"/>
    <x v="24"/>
    <x v="1"/>
    <x v="4"/>
    <x v="1"/>
  </r>
  <r>
    <x v="707"/>
    <x v="6"/>
    <x v="0"/>
    <n v="57.6"/>
    <n v="57.6"/>
    <x v="30"/>
    <d v="2025-02-05T00:00:00"/>
    <s v="M"/>
    <x v="0"/>
    <x v="2"/>
    <x v="0"/>
    <x v="49"/>
    <x v="0"/>
    <x v="4"/>
    <x v="1"/>
  </r>
  <r>
    <x v="708"/>
    <x v="8"/>
    <x v="7"/>
    <n v="59.7"/>
    <n v="597"/>
    <x v="30"/>
    <d v="2025-02-04T00:00:00"/>
    <s v="M"/>
    <x v="2"/>
    <x v="0"/>
    <x v="0"/>
    <x v="25"/>
    <x v="5"/>
    <x v="4"/>
    <x v="1"/>
  </r>
  <r>
    <x v="709"/>
    <x v="8"/>
    <x v="9"/>
    <n v="30"/>
    <n v="150"/>
    <x v="30"/>
    <d v="2025-02-02T00:00:00"/>
    <s v="M"/>
    <x v="1"/>
    <x v="0"/>
    <x v="0"/>
    <x v="6"/>
    <x v="1"/>
    <x v="4"/>
    <x v="1"/>
  </r>
  <r>
    <x v="710"/>
    <x v="10"/>
    <x v="1"/>
    <n v="69.2"/>
    <n v="138.4"/>
    <x v="30"/>
    <d v="2025-02-02T00:00:00"/>
    <s v=""/>
    <x v="2"/>
    <x v="1"/>
    <x v="0"/>
    <x v="6"/>
    <x v="1"/>
    <x v="4"/>
    <x v="0"/>
  </r>
  <r>
    <x v="711"/>
    <x v="0"/>
    <x v="8"/>
    <n v="10.9"/>
    <n v="87.2"/>
    <x v="30"/>
    <d v="2025-02-01T00:00:00"/>
    <s v="F"/>
    <x v="0"/>
    <x v="2"/>
    <x v="0"/>
    <x v="6"/>
    <x v="3"/>
    <x v="4"/>
    <x v="2"/>
  </r>
  <r>
    <x v="712"/>
    <x v="16"/>
    <x v="1"/>
    <n v="48.6"/>
    <n v="97.2"/>
    <x v="30"/>
    <d v="2025-02-04T00:00:00"/>
    <s v="M"/>
    <x v="1"/>
    <x v="2"/>
    <x v="0"/>
    <x v="6"/>
    <x v="5"/>
    <x v="4"/>
    <x v="1"/>
  </r>
  <r>
    <x v="713"/>
    <x v="2"/>
    <x v="1"/>
    <n v="61.1"/>
    <n v="122.2"/>
    <x v="30"/>
    <d v="2025-02-03T00:00:00"/>
    <s v="F"/>
    <x v="1"/>
    <x v="2"/>
    <x v="0"/>
    <x v="7"/>
    <x v="2"/>
    <x v="4"/>
    <x v="2"/>
  </r>
  <r>
    <x v="714"/>
    <x v="8"/>
    <x v="1"/>
    <n v="23.2"/>
    <n v="46.4"/>
    <x v="30"/>
    <d v="2025-02-01T00:00:00"/>
    <s v="M"/>
    <x v="3"/>
    <x v="2"/>
    <x v="0"/>
    <x v="8"/>
    <x v="3"/>
    <x v="4"/>
    <x v="1"/>
  </r>
  <r>
    <x v="715"/>
    <x v="12"/>
    <x v="12"/>
    <n v="55.8"/>
    <n v="223.2"/>
    <x v="30"/>
    <d v="2025-02-01T00:00:00"/>
    <s v="M"/>
    <x v="0"/>
    <x v="0"/>
    <x v="0"/>
    <x v="8"/>
    <x v="3"/>
    <x v="4"/>
    <x v="1"/>
  </r>
  <r>
    <x v="716"/>
    <x v="9"/>
    <x v="12"/>
    <n v="24.8"/>
    <n v="99.2"/>
    <x v="30"/>
    <d v="2025-02-01T00:00:00"/>
    <s v="F"/>
    <x v="0"/>
    <x v="2"/>
    <x v="0"/>
    <x v="8"/>
    <x v="3"/>
    <x v="4"/>
    <x v="2"/>
  </r>
  <r>
    <x v="717"/>
    <x v="10"/>
    <x v="1"/>
    <n v="27.9"/>
    <n v="55.8"/>
    <x v="30"/>
    <d v="2025-01-31T00:00:00"/>
    <s v="M"/>
    <x v="2"/>
    <x v="2"/>
    <x v="0"/>
    <x v="8"/>
    <x v="7"/>
    <x v="4"/>
    <x v="1"/>
  </r>
  <r>
    <x v="718"/>
    <x v="10"/>
    <x v="13"/>
    <n v="51.1"/>
    <n v="306.60000000000002"/>
    <x v="30"/>
    <d v="2025-01-31T00:00:00"/>
    <s v="F"/>
    <x v="3"/>
    <x v="0"/>
    <x v="0"/>
    <x v="8"/>
    <x v="7"/>
    <x v="4"/>
    <x v="2"/>
  </r>
  <r>
    <x v="719"/>
    <x v="17"/>
    <x v="5"/>
    <n v="32.700000000000003"/>
    <n v="359.70000000000005"/>
    <x v="30"/>
    <d v="2025-02-01T00:00:00"/>
    <s v="M"/>
    <x v="4"/>
    <x v="2"/>
    <x v="0"/>
    <x v="17"/>
    <x v="3"/>
    <x v="4"/>
    <x v="1"/>
  </r>
  <r>
    <x v="720"/>
    <x v="8"/>
    <x v="12"/>
    <n v="22.5"/>
    <n v="90"/>
    <x v="30"/>
    <d v="2025-01-31T00:00:00"/>
    <s v="M"/>
    <x v="0"/>
    <x v="2"/>
    <x v="0"/>
    <x v="26"/>
    <x v="7"/>
    <x v="4"/>
    <x v="1"/>
  </r>
  <r>
    <x v="721"/>
    <x v="0"/>
    <x v="3"/>
    <n v="14.6"/>
    <n v="102.2"/>
    <x v="30"/>
    <d v="2025-02-01T00:00:00"/>
    <s v="F"/>
    <x v="2"/>
    <x v="0"/>
    <x v="0"/>
    <x v="41"/>
    <x v="3"/>
    <x v="4"/>
    <x v="2"/>
  </r>
  <r>
    <x v="722"/>
    <x v="5"/>
    <x v="2"/>
    <n v="32.5"/>
    <n v="97.5"/>
    <x v="30"/>
    <d v="2025-02-03T00:00:00"/>
    <s v="M"/>
    <x v="0"/>
    <x v="0"/>
    <x v="0"/>
    <x v="10"/>
    <x v="2"/>
    <x v="4"/>
    <x v="1"/>
  </r>
  <r>
    <x v="723"/>
    <x v="18"/>
    <x v="0"/>
    <n v="78.099999999999994"/>
    <n v="78.099999999999994"/>
    <x v="30"/>
    <d v="2025-02-03T00:00:00"/>
    <s v="M"/>
    <x v="0"/>
    <x v="2"/>
    <x v="0"/>
    <x v="11"/>
    <x v="2"/>
    <x v="4"/>
    <x v="1"/>
  </r>
  <r>
    <x v="724"/>
    <x v="12"/>
    <x v="13"/>
    <n v="110.2"/>
    <n v="661.2"/>
    <x v="30"/>
    <d v="2025-01-31T00:00:00"/>
    <s v="M"/>
    <x v="1"/>
    <x v="4"/>
    <x v="0"/>
    <x v="13"/>
    <x v="7"/>
    <x v="4"/>
    <x v="1"/>
  </r>
  <r>
    <x v="725"/>
    <x v="6"/>
    <x v="2"/>
    <n v="86.3"/>
    <n v="258.89999999999998"/>
    <x v="30"/>
    <d v="2025-02-02T00:00:00"/>
    <s v="F"/>
    <x v="3"/>
    <x v="0"/>
    <x v="0"/>
    <x v="21"/>
    <x v="1"/>
    <x v="4"/>
    <x v="2"/>
  </r>
  <r>
    <x v="726"/>
    <x v="1"/>
    <x v="13"/>
    <n v="73.599999999999994"/>
    <n v="441.59999999999997"/>
    <x v="30"/>
    <d v="2025-02-02T00:00:00"/>
    <s v="O"/>
    <x v="3"/>
    <x v="4"/>
    <x v="0"/>
    <x v="44"/>
    <x v="1"/>
    <x v="4"/>
    <x v="3"/>
  </r>
  <r>
    <x v="727"/>
    <x v="6"/>
    <x v="15"/>
    <n v="67.7"/>
    <n v="880.1"/>
    <x v="30"/>
    <d v="2025-02-02T00:00:00"/>
    <s v="F"/>
    <x v="0"/>
    <x v="2"/>
    <x v="0"/>
    <x v="3"/>
    <x v="1"/>
    <x v="4"/>
    <x v="2"/>
  </r>
  <r>
    <x v="728"/>
    <x v="7"/>
    <x v="13"/>
    <n v="142.19999999999999"/>
    <n v="853.19999999999993"/>
    <x v="30"/>
    <d v="2025-02-01T00:00:00"/>
    <s v="F"/>
    <x v="2"/>
    <x v="4"/>
    <x v="0"/>
    <x v="3"/>
    <x v="3"/>
    <x v="4"/>
    <x v="2"/>
  </r>
  <r>
    <x v="729"/>
    <x v="1"/>
    <x v="11"/>
    <n v="45.8"/>
    <n v="412.2"/>
    <x v="30"/>
    <d v="2025-02-02T00:00:00"/>
    <s v="F"/>
    <x v="1"/>
    <x v="2"/>
    <x v="0"/>
    <x v="3"/>
    <x v="1"/>
    <x v="4"/>
    <x v="2"/>
  </r>
  <r>
    <x v="730"/>
    <x v="10"/>
    <x v="1"/>
    <n v="24.2"/>
    <n v="48.4"/>
    <x v="31"/>
    <d v="2025-02-04T00:00:00"/>
    <s v="F"/>
    <x v="3"/>
    <x v="2"/>
    <x v="0"/>
    <x v="3"/>
    <x v="2"/>
    <x v="4"/>
    <x v="2"/>
  </r>
  <r>
    <x v="731"/>
    <x v="2"/>
    <x v="2"/>
    <n v="144.9"/>
    <n v="434.70000000000005"/>
    <x v="31"/>
    <d v="2025-02-02T00:00:00"/>
    <s v="O"/>
    <x v="2"/>
    <x v="2"/>
    <x v="0"/>
    <x v="3"/>
    <x v="3"/>
    <x v="4"/>
    <x v="3"/>
  </r>
  <r>
    <x v="732"/>
    <x v="11"/>
    <x v="9"/>
    <n v="32.799999999999997"/>
    <n v="164"/>
    <x v="31"/>
    <d v="2025-02-04T00:00:00"/>
    <s v="F"/>
    <x v="2"/>
    <x v="0"/>
    <x v="0"/>
    <x v="23"/>
    <x v="2"/>
    <x v="4"/>
    <x v="2"/>
  </r>
  <r>
    <x v="733"/>
    <x v="7"/>
    <x v="7"/>
    <n v="35.700000000000003"/>
    <n v="357"/>
    <x v="31"/>
    <d v="2025-02-01T00:00:00"/>
    <s v="F"/>
    <x v="0"/>
    <x v="1"/>
    <x v="0"/>
    <x v="6"/>
    <x v="7"/>
    <x v="4"/>
    <x v="2"/>
  </r>
  <r>
    <x v="734"/>
    <x v="9"/>
    <x v="1"/>
    <n v="54.6"/>
    <n v="109.2"/>
    <x v="31"/>
    <d v="2025-02-02T00:00:00"/>
    <s v="F"/>
    <x v="2"/>
    <x v="0"/>
    <x v="0"/>
    <x v="6"/>
    <x v="3"/>
    <x v="4"/>
    <x v="2"/>
  </r>
  <r>
    <x v="735"/>
    <x v="8"/>
    <x v="1"/>
    <n v="35.700000000000003"/>
    <n v="71.400000000000006"/>
    <x v="31"/>
    <d v="2025-02-04T00:00:00"/>
    <s v=""/>
    <x v="0"/>
    <x v="1"/>
    <x v="0"/>
    <x v="6"/>
    <x v="2"/>
    <x v="4"/>
    <x v="0"/>
  </r>
  <r>
    <x v="736"/>
    <x v="10"/>
    <x v="1"/>
    <n v="52.4"/>
    <n v="104.8"/>
    <x v="31"/>
    <d v="2025-02-01T00:00:00"/>
    <s v="F"/>
    <x v="0"/>
    <x v="3"/>
    <x v="0"/>
    <x v="6"/>
    <x v="7"/>
    <x v="4"/>
    <x v="2"/>
  </r>
  <r>
    <x v="737"/>
    <x v="8"/>
    <x v="21"/>
    <n v="16.2"/>
    <n v="226.79999999999998"/>
    <x v="31"/>
    <d v="2025-02-02T00:00:00"/>
    <s v=""/>
    <x v="0"/>
    <x v="1"/>
    <x v="0"/>
    <x v="8"/>
    <x v="3"/>
    <x v="4"/>
    <x v="0"/>
  </r>
  <r>
    <x v="738"/>
    <x v="6"/>
    <x v="35"/>
    <n v="42.8"/>
    <n v="2011.6"/>
    <x v="31"/>
    <d v="2025-02-02T00:00:00"/>
    <s v="F"/>
    <x v="0"/>
    <x v="0"/>
    <x v="0"/>
    <x v="8"/>
    <x v="3"/>
    <x v="4"/>
    <x v="2"/>
  </r>
  <r>
    <x v="739"/>
    <x v="6"/>
    <x v="11"/>
    <n v="144.4"/>
    <n v="1299.6000000000001"/>
    <x v="31"/>
    <d v="2025-02-04T00:00:00"/>
    <s v="F"/>
    <x v="4"/>
    <x v="0"/>
    <x v="0"/>
    <x v="8"/>
    <x v="2"/>
    <x v="4"/>
    <x v="2"/>
  </r>
  <r>
    <x v="740"/>
    <x v="3"/>
    <x v="34"/>
    <n v="30.6"/>
    <n v="1101.6000000000001"/>
    <x v="31"/>
    <d v="2025-02-05T00:00:00"/>
    <s v="F"/>
    <x v="2"/>
    <x v="2"/>
    <x v="0"/>
    <x v="11"/>
    <x v="5"/>
    <x v="4"/>
    <x v="2"/>
  </r>
  <r>
    <x v="741"/>
    <x v="2"/>
    <x v="1"/>
    <n v="117.5"/>
    <n v="235"/>
    <x v="31"/>
    <d v="2025-02-02T00:00:00"/>
    <s v="M"/>
    <x v="0"/>
    <x v="0"/>
    <x v="0"/>
    <x v="19"/>
    <x v="3"/>
    <x v="4"/>
    <x v="1"/>
  </r>
  <r>
    <x v="742"/>
    <x v="6"/>
    <x v="1"/>
    <n v="105.7"/>
    <n v="211.4"/>
    <x v="31"/>
    <d v="2025-02-02T00:00:00"/>
    <s v="F"/>
    <x v="2"/>
    <x v="2"/>
    <x v="0"/>
    <x v="21"/>
    <x v="3"/>
    <x v="4"/>
    <x v="2"/>
  </r>
  <r>
    <x v="743"/>
    <x v="3"/>
    <x v="2"/>
    <n v="133.69999999999999"/>
    <n v="401.09999999999997"/>
    <x v="31"/>
    <d v="2025-02-02T00:00:00"/>
    <s v=""/>
    <x v="4"/>
    <x v="2"/>
    <x v="0"/>
    <x v="21"/>
    <x v="3"/>
    <x v="4"/>
    <x v="0"/>
  </r>
  <r>
    <x v="744"/>
    <x v="4"/>
    <x v="9"/>
    <n v="46.8"/>
    <n v="234"/>
    <x v="32"/>
    <d v="2025-02-10T00:00:00"/>
    <s v="F"/>
    <x v="0"/>
    <x v="1"/>
    <x v="0"/>
    <x v="21"/>
    <x v="9"/>
    <x v="5"/>
    <x v="2"/>
  </r>
  <r>
    <x v="745"/>
    <x v="10"/>
    <x v="2"/>
    <n v="58.4"/>
    <n v="175.2"/>
    <x v="32"/>
    <d v="2025-02-04T00:00:00"/>
    <s v="F"/>
    <x v="0"/>
    <x v="0"/>
    <x v="0"/>
    <x v="1"/>
    <x v="1"/>
    <x v="5"/>
    <x v="2"/>
  </r>
  <r>
    <x v="746"/>
    <x v="6"/>
    <x v="11"/>
    <n v="65.099999999999994"/>
    <n v="585.9"/>
    <x v="32"/>
    <d v="2025-02-06T00:00:00"/>
    <s v="M"/>
    <x v="1"/>
    <x v="2"/>
    <x v="0"/>
    <x v="22"/>
    <x v="5"/>
    <x v="5"/>
    <x v="1"/>
  </r>
  <r>
    <x v="747"/>
    <x v="8"/>
    <x v="0"/>
    <n v="18.600000000000001"/>
    <n v="18.600000000000001"/>
    <x v="32"/>
    <d v="2025-02-05T00:00:00"/>
    <s v="F"/>
    <x v="0"/>
    <x v="4"/>
    <x v="0"/>
    <x v="22"/>
    <x v="2"/>
    <x v="5"/>
    <x v="2"/>
  </r>
  <r>
    <x v="748"/>
    <x v="1"/>
    <x v="5"/>
    <n v="92.3"/>
    <n v="1015.3"/>
    <x v="32"/>
    <d v="2025-02-04T00:00:00"/>
    <s v="M"/>
    <x v="1"/>
    <x v="0"/>
    <x v="0"/>
    <x v="3"/>
    <x v="1"/>
    <x v="5"/>
    <x v="1"/>
  </r>
  <r>
    <x v="749"/>
    <x v="6"/>
    <x v="2"/>
    <n v="81.7"/>
    <n v="245.10000000000002"/>
    <x v="32"/>
    <d v="2025-02-03T00:00:00"/>
    <s v=""/>
    <x v="4"/>
    <x v="4"/>
    <x v="0"/>
    <x v="3"/>
    <x v="3"/>
    <x v="5"/>
    <x v="0"/>
  </r>
  <r>
    <x v="750"/>
    <x v="8"/>
    <x v="1"/>
    <n v="40.9"/>
    <n v="81.8"/>
    <x v="32"/>
    <d v="2025-02-04T00:00:00"/>
    <s v="M"/>
    <x v="0"/>
    <x v="1"/>
    <x v="0"/>
    <x v="3"/>
    <x v="1"/>
    <x v="5"/>
    <x v="1"/>
  </r>
  <r>
    <x v="751"/>
    <x v="6"/>
    <x v="12"/>
    <n v="43.2"/>
    <n v="172.8"/>
    <x v="32"/>
    <d v="2025-02-08T00:00:00"/>
    <s v="F"/>
    <x v="0"/>
    <x v="1"/>
    <x v="0"/>
    <x v="3"/>
    <x v="4"/>
    <x v="5"/>
    <x v="2"/>
  </r>
  <r>
    <x v="752"/>
    <x v="8"/>
    <x v="5"/>
    <n v="25.8"/>
    <n v="283.8"/>
    <x v="32"/>
    <d v="2025-02-05T00:00:00"/>
    <s v="M"/>
    <x v="2"/>
    <x v="1"/>
    <x v="0"/>
    <x v="3"/>
    <x v="2"/>
    <x v="5"/>
    <x v="1"/>
  </r>
  <r>
    <x v="753"/>
    <x v="15"/>
    <x v="12"/>
    <n v="36.4"/>
    <n v="145.6"/>
    <x v="32"/>
    <d v="2025-02-03T00:00:00"/>
    <s v="M"/>
    <x v="0"/>
    <x v="0"/>
    <x v="0"/>
    <x v="3"/>
    <x v="3"/>
    <x v="5"/>
    <x v="1"/>
  </r>
  <r>
    <x v="754"/>
    <x v="10"/>
    <x v="0"/>
    <n v="59.1"/>
    <n v="59.1"/>
    <x v="32"/>
    <d v="2025-02-03T00:00:00"/>
    <s v="F"/>
    <x v="2"/>
    <x v="0"/>
    <x v="0"/>
    <x v="7"/>
    <x v="3"/>
    <x v="5"/>
    <x v="2"/>
  </r>
  <r>
    <x v="755"/>
    <x v="2"/>
    <x v="14"/>
    <n v="74.5"/>
    <n v="1266.5"/>
    <x v="32"/>
    <d v="2025-02-04T00:00:00"/>
    <s v="M"/>
    <x v="4"/>
    <x v="0"/>
    <x v="0"/>
    <x v="18"/>
    <x v="1"/>
    <x v="5"/>
    <x v="1"/>
  </r>
  <r>
    <x v="756"/>
    <x v="5"/>
    <x v="0"/>
    <n v="72.8"/>
    <n v="72.8"/>
    <x v="32"/>
    <d v="2025-02-03T00:00:00"/>
    <s v="F"/>
    <x v="0"/>
    <x v="1"/>
    <x v="0"/>
    <x v="19"/>
    <x v="3"/>
    <x v="5"/>
    <x v="2"/>
  </r>
  <r>
    <x v="757"/>
    <x v="6"/>
    <x v="12"/>
    <n v="137.30000000000001"/>
    <n v="549.20000000000005"/>
    <x v="32"/>
    <d v="2025-02-05T00:00:00"/>
    <s v="F"/>
    <x v="0"/>
    <x v="0"/>
    <x v="0"/>
    <x v="13"/>
    <x v="2"/>
    <x v="5"/>
    <x v="2"/>
  </r>
  <r>
    <x v="758"/>
    <x v="1"/>
    <x v="2"/>
    <n v="48.7"/>
    <n v="146.10000000000002"/>
    <x v="32"/>
    <d v="2025-02-07T00:00:00"/>
    <s v="F"/>
    <x v="0"/>
    <x v="1"/>
    <x v="0"/>
    <x v="21"/>
    <x v="0"/>
    <x v="5"/>
    <x v="2"/>
  </r>
  <r>
    <x v="759"/>
    <x v="6"/>
    <x v="12"/>
    <n v="53.7"/>
    <n v="214.8"/>
    <x v="32"/>
    <d v="2025-02-06T00:00:00"/>
    <s v="M"/>
    <x v="1"/>
    <x v="4"/>
    <x v="0"/>
    <x v="2"/>
    <x v="5"/>
    <x v="5"/>
    <x v="1"/>
  </r>
  <r>
    <x v="760"/>
    <x v="2"/>
    <x v="3"/>
    <n v="100.9"/>
    <n v="706.30000000000007"/>
    <x v="32"/>
    <d v="2025-02-04T00:00:00"/>
    <s v="F"/>
    <x v="0"/>
    <x v="1"/>
    <x v="0"/>
    <x v="2"/>
    <x v="1"/>
    <x v="5"/>
    <x v="2"/>
  </r>
  <r>
    <x v="761"/>
    <x v="10"/>
    <x v="1"/>
    <n v="41.8"/>
    <n v="83.6"/>
    <x v="32"/>
    <d v="2025-02-06T00:00:00"/>
    <s v="M"/>
    <x v="3"/>
    <x v="2"/>
    <x v="0"/>
    <x v="22"/>
    <x v="5"/>
    <x v="5"/>
    <x v="1"/>
  </r>
  <r>
    <x v="762"/>
    <x v="4"/>
    <x v="8"/>
    <n v="28.5"/>
    <n v="228"/>
    <x v="32"/>
    <d v="2025-02-04T00:00:00"/>
    <s v="M"/>
    <x v="2"/>
    <x v="1"/>
    <x v="0"/>
    <x v="3"/>
    <x v="1"/>
    <x v="5"/>
    <x v="1"/>
  </r>
  <r>
    <x v="763"/>
    <x v="7"/>
    <x v="12"/>
    <n v="88.9"/>
    <n v="355.6"/>
    <x v="32"/>
    <d v="2025-02-05T00:00:00"/>
    <s v="F"/>
    <x v="0"/>
    <x v="2"/>
    <x v="0"/>
    <x v="3"/>
    <x v="2"/>
    <x v="5"/>
    <x v="2"/>
  </r>
  <r>
    <x v="764"/>
    <x v="6"/>
    <x v="0"/>
    <n v="62.5"/>
    <n v="62.5"/>
    <x v="32"/>
    <d v="2025-02-11T00:00:00"/>
    <s v="F"/>
    <x v="0"/>
    <x v="2"/>
    <x v="0"/>
    <x v="3"/>
    <x v="8"/>
    <x v="5"/>
    <x v="2"/>
  </r>
  <r>
    <x v="765"/>
    <x v="1"/>
    <x v="2"/>
    <n v="46.9"/>
    <n v="140.69999999999999"/>
    <x v="32"/>
    <d v="2025-02-03T00:00:00"/>
    <s v="M"/>
    <x v="0"/>
    <x v="2"/>
    <x v="0"/>
    <x v="3"/>
    <x v="3"/>
    <x v="5"/>
    <x v="1"/>
  </r>
  <r>
    <x v="766"/>
    <x v="8"/>
    <x v="2"/>
    <n v="45"/>
    <n v="135"/>
    <x v="32"/>
    <d v="2025-02-16T00:00:00"/>
    <s v="M"/>
    <x v="1"/>
    <x v="0"/>
    <x v="0"/>
    <x v="3"/>
    <x v="12"/>
    <x v="5"/>
    <x v="1"/>
  </r>
  <r>
    <x v="767"/>
    <x v="6"/>
    <x v="2"/>
    <n v="45.2"/>
    <n v="135.60000000000002"/>
    <x v="32"/>
    <d v="2025-02-04T00:00:00"/>
    <s v="M"/>
    <x v="4"/>
    <x v="2"/>
    <x v="0"/>
    <x v="3"/>
    <x v="1"/>
    <x v="5"/>
    <x v="1"/>
  </r>
  <r>
    <x v="768"/>
    <x v="4"/>
    <x v="1"/>
    <n v="60.1"/>
    <n v="120.2"/>
    <x v="32"/>
    <d v="2025-02-03T00:00:00"/>
    <s v="F"/>
    <x v="0"/>
    <x v="2"/>
    <x v="0"/>
    <x v="3"/>
    <x v="3"/>
    <x v="5"/>
    <x v="2"/>
  </r>
  <r>
    <x v="769"/>
    <x v="12"/>
    <x v="12"/>
    <n v="118.7"/>
    <n v="474.8"/>
    <x v="32"/>
    <d v="2025-02-04T00:00:00"/>
    <s v="F"/>
    <x v="0"/>
    <x v="0"/>
    <x v="0"/>
    <x v="3"/>
    <x v="1"/>
    <x v="5"/>
    <x v="2"/>
  </r>
  <r>
    <x v="770"/>
    <x v="9"/>
    <x v="0"/>
    <n v="57.8"/>
    <n v="57.8"/>
    <x v="32"/>
    <d v="2025-02-11T00:00:00"/>
    <s v="F"/>
    <x v="1"/>
    <x v="0"/>
    <x v="0"/>
    <x v="3"/>
    <x v="8"/>
    <x v="5"/>
    <x v="2"/>
  </r>
  <r>
    <x v="771"/>
    <x v="4"/>
    <x v="0"/>
    <n v="19.5"/>
    <n v="19.5"/>
    <x v="32"/>
    <d v="2025-02-03T00:00:00"/>
    <s v="M"/>
    <x v="1"/>
    <x v="1"/>
    <x v="0"/>
    <x v="3"/>
    <x v="3"/>
    <x v="5"/>
    <x v="1"/>
  </r>
  <r>
    <x v="772"/>
    <x v="12"/>
    <x v="0"/>
    <n v="42.6"/>
    <n v="42.6"/>
    <x v="32"/>
    <d v="2025-02-03T00:00:00"/>
    <s v="M"/>
    <x v="0"/>
    <x v="1"/>
    <x v="0"/>
    <x v="3"/>
    <x v="3"/>
    <x v="5"/>
    <x v="1"/>
  </r>
  <r>
    <x v="773"/>
    <x v="6"/>
    <x v="1"/>
    <n v="74.8"/>
    <n v="149.6"/>
    <x v="32"/>
    <d v="2025-02-03T00:00:00"/>
    <s v="F"/>
    <x v="3"/>
    <x v="2"/>
    <x v="0"/>
    <x v="37"/>
    <x v="3"/>
    <x v="5"/>
    <x v="2"/>
  </r>
  <r>
    <x v="774"/>
    <x v="8"/>
    <x v="2"/>
    <n v="32.5"/>
    <n v="97.5"/>
    <x v="32"/>
    <d v="2025-02-03T00:00:00"/>
    <s v="M"/>
    <x v="2"/>
    <x v="4"/>
    <x v="0"/>
    <x v="16"/>
    <x v="3"/>
    <x v="5"/>
    <x v="1"/>
  </r>
  <r>
    <x v="775"/>
    <x v="2"/>
    <x v="2"/>
    <n v="60.5"/>
    <n v="181.5"/>
    <x v="32"/>
    <d v="2025-02-02T00:00:00"/>
    <s v="F"/>
    <x v="1"/>
    <x v="2"/>
    <x v="0"/>
    <x v="25"/>
    <x v="7"/>
    <x v="5"/>
    <x v="2"/>
  </r>
  <r>
    <x v="776"/>
    <x v="1"/>
    <x v="3"/>
    <n v="57.2"/>
    <n v="400.40000000000003"/>
    <x v="32"/>
    <d v="2025-02-04T00:00:00"/>
    <s v=""/>
    <x v="2"/>
    <x v="0"/>
    <x v="0"/>
    <x v="25"/>
    <x v="1"/>
    <x v="5"/>
    <x v="0"/>
  </r>
  <r>
    <x v="777"/>
    <x v="16"/>
    <x v="1"/>
    <n v="112"/>
    <n v="224"/>
    <x v="32"/>
    <d v="2025-02-03T00:00:00"/>
    <s v="F"/>
    <x v="1"/>
    <x v="1"/>
    <x v="0"/>
    <x v="5"/>
    <x v="3"/>
    <x v="5"/>
    <x v="2"/>
  </r>
  <r>
    <x v="778"/>
    <x v="7"/>
    <x v="7"/>
    <n v="49"/>
    <n v="490"/>
    <x v="32"/>
    <d v="2025-02-03T00:00:00"/>
    <s v="O"/>
    <x v="2"/>
    <x v="1"/>
    <x v="0"/>
    <x v="6"/>
    <x v="3"/>
    <x v="5"/>
    <x v="3"/>
  </r>
  <r>
    <x v="779"/>
    <x v="0"/>
    <x v="1"/>
    <n v="33.700000000000003"/>
    <n v="67.400000000000006"/>
    <x v="32"/>
    <d v="2025-02-06T00:00:00"/>
    <s v="F"/>
    <x v="3"/>
    <x v="0"/>
    <x v="0"/>
    <x v="6"/>
    <x v="5"/>
    <x v="5"/>
    <x v="2"/>
  </r>
  <r>
    <x v="780"/>
    <x v="4"/>
    <x v="2"/>
    <n v="35.6"/>
    <n v="106.80000000000001"/>
    <x v="32"/>
    <d v="2025-02-05T00:00:00"/>
    <s v="F"/>
    <x v="0"/>
    <x v="2"/>
    <x v="0"/>
    <x v="6"/>
    <x v="2"/>
    <x v="5"/>
    <x v="2"/>
  </r>
  <r>
    <x v="781"/>
    <x v="4"/>
    <x v="36"/>
    <n v="30.4"/>
    <n v="1064"/>
    <x v="33"/>
    <d v="2025-02-03T00:00:00"/>
    <s v="F"/>
    <x v="0"/>
    <x v="1"/>
    <x v="0"/>
    <x v="7"/>
    <x v="7"/>
    <x v="5"/>
    <x v="2"/>
  </r>
  <r>
    <x v="782"/>
    <x v="10"/>
    <x v="4"/>
    <n v="50.2"/>
    <n v="602.40000000000009"/>
    <x v="33"/>
    <d v="2025-02-04T00:00:00"/>
    <s v="M"/>
    <x v="4"/>
    <x v="0"/>
    <x v="0"/>
    <x v="8"/>
    <x v="3"/>
    <x v="5"/>
    <x v="1"/>
  </r>
  <r>
    <x v="783"/>
    <x v="1"/>
    <x v="1"/>
    <n v="43.7"/>
    <n v="87.4"/>
    <x v="33"/>
    <d v="2025-02-05T00:00:00"/>
    <s v="F"/>
    <x v="0"/>
    <x v="0"/>
    <x v="0"/>
    <x v="8"/>
    <x v="1"/>
    <x v="5"/>
    <x v="2"/>
  </r>
  <r>
    <x v="784"/>
    <x v="10"/>
    <x v="0"/>
    <n v="33.299999999999997"/>
    <n v="33.299999999999997"/>
    <x v="33"/>
    <d v="2025-02-04T00:00:00"/>
    <s v="F"/>
    <x v="2"/>
    <x v="1"/>
    <x v="0"/>
    <x v="8"/>
    <x v="3"/>
    <x v="5"/>
    <x v="2"/>
  </r>
  <r>
    <x v="785"/>
    <x v="8"/>
    <x v="12"/>
    <n v="15.1"/>
    <n v="60.4"/>
    <x v="33"/>
    <d v="2025-02-05T00:00:00"/>
    <s v="F"/>
    <x v="4"/>
    <x v="2"/>
    <x v="0"/>
    <x v="8"/>
    <x v="1"/>
    <x v="5"/>
    <x v="2"/>
  </r>
  <r>
    <x v="786"/>
    <x v="6"/>
    <x v="9"/>
    <n v="118.2"/>
    <n v="591"/>
    <x v="33"/>
    <d v="2025-02-04T00:00:00"/>
    <s v="F"/>
    <x v="3"/>
    <x v="4"/>
    <x v="0"/>
    <x v="8"/>
    <x v="3"/>
    <x v="5"/>
    <x v="2"/>
  </r>
  <r>
    <x v="787"/>
    <x v="10"/>
    <x v="2"/>
    <n v="28.9"/>
    <n v="86.699999999999989"/>
    <x v="33"/>
    <d v="2025-02-05T00:00:00"/>
    <s v="F"/>
    <x v="2"/>
    <x v="1"/>
    <x v="0"/>
    <x v="8"/>
    <x v="1"/>
    <x v="5"/>
    <x v="2"/>
  </r>
  <r>
    <x v="788"/>
    <x v="4"/>
    <x v="2"/>
    <n v="55.6"/>
    <n v="166.8"/>
    <x v="33"/>
    <d v="2025-02-04T00:00:00"/>
    <s v="M"/>
    <x v="0"/>
    <x v="1"/>
    <x v="0"/>
    <x v="8"/>
    <x v="3"/>
    <x v="5"/>
    <x v="1"/>
  </r>
  <r>
    <x v="789"/>
    <x v="9"/>
    <x v="12"/>
    <n v="25.6"/>
    <n v="102.4"/>
    <x v="33"/>
    <d v="2025-02-05T00:00:00"/>
    <s v="F"/>
    <x v="0"/>
    <x v="1"/>
    <x v="0"/>
    <x v="8"/>
    <x v="1"/>
    <x v="5"/>
    <x v="2"/>
  </r>
  <r>
    <x v="790"/>
    <x v="7"/>
    <x v="2"/>
    <n v="31.3"/>
    <n v="93.9"/>
    <x v="33"/>
    <d v="2025-02-04T00:00:00"/>
    <s v="M"/>
    <x v="0"/>
    <x v="0"/>
    <x v="0"/>
    <x v="17"/>
    <x v="3"/>
    <x v="5"/>
    <x v="1"/>
  </r>
  <r>
    <x v="791"/>
    <x v="0"/>
    <x v="2"/>
    <n v="22.1"/>
    <n v="66.300000000000011"/>
    <x v="33"/>
    <d v="2025-02-07T00:00:00"/>
    <s v="M"/>
    <x v="0"/>
    <x v="0"/>
    <x v="0"/>
    <x v="17"/>
    <x v="5"/>
    <x v="5"/>
    <x v="1"/>
  </r>
  <r>
    <x v="792"/>
    <x v="2"/>
    <x v="21"/>
    <n v="99.4"/>
    <n v="1391.6000000000001"/>
    <x v="33"/>
    <d v="2025-02-04T00:00:00"/>
    <s v="M"/>
    <x v="1"/>
    <x v="0"/>
    <x v="0"/>
    <x v="11"/>
    <x v="3"/>
    <x v="5"/>
    <x v="1"/>
  </r>
  <r>
    <x v="793"/>
    <x v="7"/>
    <x v="13"/>
    <n v="66.599999999999994"/>
    <n v="399.59999999999997"/>
    <x v="33"/>
    <d v="2025-02-04T00:00:00"/>
    <s v="F"/>
    <x v="0"/>
    <x v="0"/>
    <x v="0"/>
    <x v="11"/>
    <x v="3"/>
    <x v="5"/>
    <x v="2"/>
  </r>
  <r>
    <x v="794"/>
    <x v="8"/>
    <x v="1"/>
    <n v="22.6"/>
    <n v="45.2"/>
    <x v="33"/>
    <d v="2025-02-06T00:00:00"/>
    <s v="M"/>
    <x v="0"/>
    <x v="0"/>
    <x v="0"/>
    <x v="11"/>
    <x v="2"/>
    <x v="5"/>
    <x v="1"/>
  </r>
  <r>
    <x v="795"/>
    <x v="2"/>
    <x v="16"/>
    <n v="66.8"/>
    <n v="1202.3999999999999"/>
    <x v="33"/>
    <d v="2025-02-04T00:00:00"/>
    <s v="F"/>
    <x v="0"/>
    <x v="4"/>
    <x v="0"/>
    <x v="13"/>
    <x v="3"/>
    <x v="5"/>
    <x v="2"/>
  </r>
  <r>
    <x v="796"/>
    <x v="0"/>
    <x v="12"/>
    <n v="20.8"/>
    <n v="83.2"/>
    <x v="33"/>
    <d v="2025-02-10T00:00:00"/>
    <s v="M"/>
    <x v="1"/>
    <x v="4"/>
    <x v="0"/>
    <x v="1"/>
    <x v="6"/>
    <x v="5"/>
    <x v="1"/>
  </r>
  <r>
    <x v="797"/>
    <x v="2"/>
    <x v="3"/>
    <n v="102.5"/>
    <n v="717.5"/>
    <x v="33"/>
    <d v="2025-02-04T00:00:00"/>
    <s v="F"/>
    <x v="4"/>
    <x v="2"/>
    <x v="0"/>
    <x v="3"/>
    <x v="3"/>
    <x v="5"/>
    <x v="2"/>
  </r>
  <r>
    <x v="798"/>
    <x v="0"/>
    <x v="16"/>
    <n v="24.8"/>
    <n v="446.40000000000003"/>
    <x v="33"/>
    <d v="2025-02-07T00:00:00"/>
    <s v="F"/>
    <x v="0"/>
    <x v="0"/>
    <x v="0"/>
    <x v="3"/>
    <x v="5"/>
    <x v="5"/>
    <x v="2"/>
  </r>
  <r>
    <x v="799"/>
    <x v="4"/>
    <x v="37"/>
    <n v="31.4"/>
    <n v="973.4"/>
    <x v="33"/>
    <d v="2025-02-04T00:00:00"/>
    <s v="F"/>
    <x v="3"/>
    <x v="0"/>
    <x v="0"/>
    <x v="3"/>
    <x v="3"/>
    <x v="5"/>
    <x v="2"/>
  </r>
  <r>
    <x v="800"/>
    <x v="9"/>
    <x v="9"/>
    <n v="59.3"/>
    <n v="296.5"/>
    <x v="33"/>
    <d v="2025-02-06T00:00:00"/>
    <s v="M"/>
    <x v="1"/>
    <x v="2"/>
    <x v="0"/>
    <x v="43"/>
    <x v="2"/>
    <x v="5"/>
    <x v="1"/>
  </r>
  <r>
    <x v="801"/>
    <x v="11"/>
    <x v="13"/>
    <n v="39"/>
    <n v="234"/>
    <x v="33"/>
    <d v="2025-02-06T00:00:00"/>
    <s v="M"/>
    <x v="1"/>
    <x v="0"/>
    <x v="0"/>
    <x v="6"/>
    <x v="2"/>
    <x v="5"/>
    <x v="1"/>
  </r>
  <r>
    <x v="802"/>
    <x v="5"/>
    <x v="13"/>
    <n v="98.6"/>
    <n v="591.59999999999991"/>
    <x v="33"/>
    <d v="2025-02-05T00:00:00"/>
    <s v="F"/>
    <x v="1"/>
    <x v="0"/>
    <x v="0"/>
    <x v="6"/>
    <x v="1"/>
    <x v="5"/>
    <x v="2"/>
  </r>
  <r>
    <x v="803"/>
    <x v="8"/>
    <x v="0"/>
    <n v="20"/>
    <n v="20"/>
    <x v="34"/>
    <d v="2025-02-05T00:00:00"/>
    <s v="M"/>
    <x v="3"/>
    <x v="2"/>
    <x v="0"/>
    <x v="8"/>
    <x v="3"/>
    <x v="5"/>
    <x v="1"/>
  </r>
  <r>
    <x v="804"/>
    <x v="1"/>
    <x v="1"/>
    <n v="42.9"/>
    <n v="85.8"/>
    <x v="34"/>
    <d v="2025-02-06T00:00:00"/>
    <s v="F"/>
    <x v="0"/>
    <x v="2"/>
    <x v="0"/>
    <x v="8"/>
    <x v="1"/>
    <x v="5"/>
    <x v="2"/>
  </r>
  <r>
    <x v="805"/>
    <x v="7"/>
    <x v="3"/>
    <n v="55.6"/>
    <n v="389.2"/>
    <x v="34"/>
    <d v="2025-02-06T00:00:00"/>
    <s v="F"/>
    <x v="2"/>
    <x v="1"/>
    <x v="0"/>
    <x v="8"/>
    <x v="1"/>
    <x v="5"/>
    <x v="2"/>
  </r>
  <r>
    <x v="806"/>
    <x v="8"/>
    <x v="12"/>
    <n v="19.2"/>
    <n v="76.8"/>
    <x v="34"/>
    <d v="2025-02-09T00:00:00"/>
    <s v="F"/>
    <x v="0"/>
    <x v="0"/>
    <x v="0"/>
    <x v="41"/>
    <x v="0"/>
    <x v="5"/>
    <x v="2"/>
  </r>
  <r>
    <x v="807"/>
    <x v="5"/>
    <x v="1"/>
    <n v="28.8"/>
    <n v="57.6"/>
    <x v="34"/>
    <d v="2025-02-06T00:00:00"/>
    <s v="M"/>
    <x v="1"/>
    <x v="0"/>
    <x v="0"/>
    <x v="18"/>
    <x v="1"/>
    <x v="5"/>
    <x v="1"/>
  </r>
  <r>
    <x v="808"/>
    <x v="4"/>
    <x v="0"/>
    <n v="29.7"/>
    <n v="29.7"/>
    <x v="34"/>
    <d v="2025-02-06T00:00:00"/>
    <s v="F"/>
    <x v="2"/>
    <x v="4"/>
    <x v="0"/>
    <x v="20"/>
    <x v="1"/>
    <x v="5"/>
    <x v="2"/>
  </r>
  <r>
    <x v="809"/>
    <x v="6"/>
    <x v="13"/>
    <n v="63.3"/>
    <n v="379.79999999999995"/>
    <x v="34"/>
    <d v="2025-02-05T00:00:00"/>
    <s v=""/>
    <x v="0"/>
    <x v="2"/>
    <x v="0"/>
    <x v="21"/>
    <x v="3"/>
    <x v="5"/>
    <x v="0"/>
  </r>
  <r>
    <x v="810"/>
    <x v="4"/>
    <x v="0"/>
    <n v="46"/>
    <n v="46"/>
    <x v="34"/>
    <d v="2025-02-05T00:00:00"/>
    <s v="F"/>
    <x v="0"/>
    <x v="2"/>
    <x v="0"/>
    <x v="21"/>
    <x v="3"/>
    <x v="5"/>
    <x v="2"/>
  </r>
  <r>
    <x v="811"/>
    <x v="11"/>
    <x v="2"/>
    <n v="38"/>
    <n v="114"/>
    <x v="34"/>
    <d v="2025-02-06T00:00:00"/>
    <s v="F"/>
    <x v="1"/>
    <x v="2"/>
    <x v="0"/>
    <x v="21"/>
    <x v="1"/>
    <x v="5"/>
    <x v="2"/>
  </r>
  <r>
    <x v="812"/>
    <x v="10"/>
    <x v="15"/>
    <n v="34.6"/>
    <n v="449.8"/>
    <x v="34"/>
    <d v="2025-02-06T00:00:00"/>
    <s v="F"/>
    <x v="0"/>
    <x v="1"/>
    <x v="0"/>
    <x v="21"/>
    <x v="1"/>
    <x v="5"/>
    <x v="2"/>
  </r>
  <r>
    <x v="813"/>
    <x v="3"/>
    <x v="7"/>
    <n v="79.7"/>
    <n v="797"/>
    <x v="34"/>
    <d v="2025-02-05T00:00:00"/>
    <s v="F"/>
    <x v="4"/>
    <x v="1"/>
    <x v="0"/>
    <x v="21"/>
    <x v="3"/>
    <x v="5"/>
    <x v="2"/>
  </r>
  <r>
    <x v="814"/>
    <x v="8"/>
    <x v="8"/>
    <n v="30.5"/>
    <n v="244"/>
    <x v="34"/>
    <d v="2025-02-08T00:00:00"/>
    <s v="M"/>
    <x v="3"/>
    <x v="0"/>
    <x v="0"/>
    <x v="1"/>
    <x v="5"/>
    <x v="5"/>
    <x v="1"/>
  </r>
  <r>
    <x v="815"/>
    <x v="0"/>
    <x v="1"/>
    <n v="20.8"/>
    <n v="41.6"/>
    <x v="34"/>
    <d v="2025-02-05T00:00:00"/>
    <s v="F"/>
    <x v="0"/>
    <x v="0"/>
    <x v="0"/>
    <x v="2"/>
    <x v="3"/>
    <x v="5"/>
    <x v="2"/>
  </r>
  <r>
    <x v="816"/>
    <x v="11"/>
    <x v="3"/>
    <n v="48.5"/>
    <n v="339.5"/>
    <x v="34"/>
    <d v="2025-02-08T00:00:00"/>
    <s v="F"/>
    <x v="2"/>
    <x v="2"/>
    <x v="0"/>
    <x v="2"/>
    <x v="5"/>
    <x v="5"/>
    <x v="2"/>
  </r>
  <r>
    <x v="817"/>
    <x v="2"/>
    <x v="12"/>
    <n v="61.8"/>
    <n v="247.2"/>
    <x v="34"/>
    <d v="2025-02-08T00:00:00"/>
    <s v="F"/>
    <x v="4"/>
    <x v="0"/>
    <x v="0"/>
    <x v="22"/>
    <x v="5"/>
    <x v="5"/>
    <x v="2"/>
  </r>
  <r>
    <x v="818"/>
    <x v="10"/>
    <x v="0"/>
    <n v="46.1"/>
    <n v="46.1"/>
    <x v="34"/>
    <d v="2025-02-05T00:00:00"/>
    <s v="O"/>
    <x v="2"/>
    <x v="0"/>
    <x v="0"/>
    <x v="3"/>
    <x v="3"/>
    <x v="5"/>
    <x v="3"/>
  </r>
  <r>
    <x v="819"/>
    <x v="4"/>
    <x v="13"/>
    <n v="44"/>
    <n v="264"/>
    <x v="34"/>
    <d v="2025-02-05T00:00:00"/>
    <s v="F"/>
    <x v="0"/>
    <x v="0"/>
    <x v="0"/>
    <x v="3"/>
    <x v="3"/>
    <x v="5"/>
    <x v="2"/>
  </r>
  <r>
    <x v="820"/>
    <x v="18"/>
    <x v="1"/>
    <n v="95.7"/>
    <n v="191.4"/>
    <x v="34"/>
    <d v="2025-02-10T00:00:00"/>
    <s v="F"/>
    <x v="3"/>
    <x v="2"/>
    <x v="0"/>
    <x v="3"/>
    <x v="4"/>
    <x v="5"/>
    <x v="2"/>
  </r>
  <r>
    <x v="821"/>
    <x v="7"/>
    <x v="9"/>
    <n v="46.4"/>
    <n v="232"/>
    <x v="34"/>
    <d v="2025-02-07T00:00:00"/>
    <s v="F"/>
    <x v="0"/>
    <x v="0"/>
    <x v="0"/>
    <x v="3"/>
    <x v="2"/>
    <x v="5"/>
    <x v="2"/>
  </r>
  <r>
    <x v="822"/>
    <x v="6"/>
    <x v="1"/>
    <n v="47.2"/>
    <n v="94.4"/>
    <x v="34"/>
    <d v="2025-02-06T00:00:00"/>
    <s v="F"/>
    <x v="0"/>
    <x v="2"/>
    <x v="0"/>
    <x v="3"/>
    <x v="1"/>
    <x v="5"/>
    <x v="2"/>
  </r>
  <r>
    <x v="823"/>
    <x v="7"/>
    <x v="1"/>
    <n v="58.6"/>
    <n v="117.2"/>
    <x v="34"/>
    <d v="2025-02-05T00:00:00"/>
    <s v="F"/>
    <x v="2"/>
    <x v="1"/>
    <x v="0"/>
    <x v="3"/>
    <x v="3"/>
    <x v="5"/>
    <x v="2"/>
  </r>
  <r>
    <x v="824"/>
    <x v="4"/>
    <x v="2"/>
    <n v="57"/>
    <n v="171"/>
    <x v="34"/>
    <d v="2025-02-05T00:00:00"/>
    <s v="M"/>
    <x v="0"/>
    <x v="2"/>
    <x v="0"/>
    <x v="3"/>
    <x v="3"/>
    <x v="5"/>
    <x v="1"/>
  </r>
  <r>
    <x v="825"/>
    <x v="8"/>
    <x v="12"/>
    <n v="28.9"/>
    <n v="115.6"/>
    <x v="34"/>
    <d v="2025-02-08T00:00:00"/>
    <s v="M"/>
    <x v="2"/>
    <x v="0"/>
    <x v="0"/>
    <x v="3"/>
    <x v="5"/>
    <x v="5"/>
    <x v="1"/>
  </r>
  <r>
    <x v="826"/>
    <x v="12"/>
    <x v="9"/>
    <n v="60.7"/>
    <n v="303.5"/>
    <x v="34"/>
    <d v="2025-02-08T00:00:00"/>
    <s v=""/>
    <x v="1"/>
    <x v="1"/>
    <x v="0"/>
    <x v="3"/>
    <x v="5"/>
    <x v="5"/>
    <x v="0"/>
  </r>
  <r>
    <x v="827"/>
    <x v="6"/>
    <x v="9"/>
    <n v="60.8"/>
    <n v="304"/>
    <x v="34"/>
    <d v="2025-02-08T00:00:00"/>
    <s v="M"/>
    <x v="0"/>
    <x v="1"/>
    <x v="0"/>
    <x v="3"/>
    <x v="5"/>
    <x v="5"/>
    <x v="1"/>
  </r>
  <r>
    <x v="828"/>
    <x v="6"/>
    <x v="9"/>
    <n v="64.599999999999994"/>
    <n v="323"/>
    <x v="34"/>
    <d v="2025-02-05T00:00:00"/>
    <s v="F"/>
    <x v="3"/>
    <x v="0"/>
    <x v="0"/>
    <x v="3"/>
    <x v="3"/>
    <x v="5"/>
    <x v="2"/>
  </r>
  <r>
    <x v="829"/>
    <x v="8"/>
    <x v="0"/>
    <n v="21.9"/>
    <n v="21.9"/>
    <x v="34"/>
    <d v="2025-02-07T00:00:00"/>
    <s v="M"/>
    <x v="1"/>
    <x v="2"/>
    <x v="0"/>
    <x v="4"/>
    <x v="2"/>
    <x v="5"/>
    <x v="1"/>
  </r>
  <r>
    <x v="830"/>
    <x v="4"/>
    <x v="4"/>
    <n v="33.4"/>
    <n v="400.79999999999995"/>
    <x v="34"/>
    <d v="2025-02-06T00:00:00"/>
    <s v="F"/>
    <x v="0"/>
    <x v="0"/>
    <x v="0"/>
    <x v="23"/>
    <x v="1"/>
    <x v="5"/>
    <x v="2"/>
  </r>
  <r>
    <x v="831"/>
    <x v="2"/>
    <x v="0"/>
    <n v="51.7"/>
    <n v="51.7"/>
    <x v="34"/>
    <d v="2025-02-05T00:00:00"/>
    <s v=""/>
    <x v="0"/>
    <x v="0"/>
    <x v="0"/>
    <x v="6"/>
    <x v="3"/>
    <x v="5"/>
    <x v="0"/>
  </r>
  <r>
    <x v="832"/>
    <x v="1"/>
    <x v="12"/>
    <n v="84.9"/>
    <n v="339.6"/>
    <x v="34"/>
    <d v="2025-02-05T00:00:00"/>
    <s v="F"/>
    <x v="1"/>
    <x v="1"/>
    <x v="0"/>
    <x v="6"/>
    <x v="3"/>
    <x v="5"/>
    <x v="2"/>
  </r>
  <r>
    <x v="833"/>
    <x v="1"/>
    <x v="5"/>
    <n v="62.3"/>
    <n v="685.3"/>
    <x v="34"/>
    <d v="2025-02-05T00:00:00"/>
    <s v="F"/>
    <x v="2"/>
    <x v="2"/>
    <x v="0"/>
    <x v="7"/>
    <x v="3"/>
    <x v="5"/>
    <x v="2"/>
  </r>
  <r>
    <x v="834"/>
    <x v="4"/>
    <x v="0"/>
    <n v="50.7"/>
    <n v="50.7"/>
    <x v="34"/>
    <d v="2025-02-06T00:00:00"/>
    <s v="M"/>
    <x v="2"/>
    <x v="2"/>
    <x v="0"/>
    <x v="8"/>
    <x v="1"/>
    <x v="5"/>
    <x v="1"/>
  </r>
  <r>
    <x v="835"/>
    <x v="18"/>
    <x v="0"/>
    <n v="39.5"/>
    <n v="39.5"/>
    <x v="34"/>
    <d v="2025-02-05T00:00:00"/>
    <s v="M"/>
    <x v="4"/>
    <x v="1"/>
    <x v="0"/>
    <x v="8"/>
    <x v="3"/>
    <x v="5"/>
    <x v="1"/>
  </r>
  <r>
    <x v="836"/>
    <x v="12"/>
    <x v="2"/>
    <n v="30.9"/>
    <n v="92.699999999999989"/>
    <x v="34"/>
    <d v="2025-02-05T00:00:00"/>
    <s v=""/>
    <x v="4"/>
    <x v="2"/>
    <x v="0"/>
    <x v="8"/>
    <x v="3"/>
    <x v="5"/>
    <x v="0"/>
  </r>
  <r>
    <x v="837"/>
    <x v="1"/>
    <x v="3"/>
    <n v="36.4"/>
    <n v="254.79999999999998"/>
    <x v="34"/>
    <d v="2025-02-07T00:00:00"/>
    <s v="F"/>
    <x v="0"/>
    <x v="2"/>
    <x v="0"/>
    <x v="8"/>
    <x v="2"/>
    <x v="5"/>
    <x v="2"/>
  </r>
  <r>
    <x v="838"/>
    <x v="6"/>
    <x v="8"/>
    <n v="105.6"/>
    <n v="844.8"/>
    <x v="34"/>
    <d v="2025-02-14T00:00:00"/>
    <s v="F"/>
    <x v="0"/>
    <x v="0"/>
    <x v="0"/>
    <x v="8"/>
    <x v="14"/>
    <x v="5"/>
    <x v="2"/>
  </r>
  <r>
    <x v="839"/>
    <x v="8"/>
    <x v="1"/>
    <n v="22.1"/>
    <n v="44.2"/>
    <x v="34"/>
    <d v="2025-02-05T00:00:00"/>
    <s v="F"/>
    <x v="0"/>
    <x v="2"/>
    <x v="0"/>
    <x v="17"/>
    <x v="3"/>
    <x v="5"/>
    <x v="2"/>
  </r>
  <r>
    <x v="840"/>
    <x v="0"/>
    <x v="2"/>
    <n v="22.6"/>
    <n v="67.800000000000011"/>
    <x v="34"/>
    <d v="2025-02-05T00:00:00"/>
    <s v="F"/>
    <x v="2"/>
    <x v="0"/>
    <x v="0"/>
    <x v="17"/>
    <x v="3"/>
    <x v="5"/>
    <x v="2"/>
  </r>
  <r>
    <x v="841"/>
    <x v="10"/>
    <x v="13"/>
    <n v="26.3"/>
    <n v="157.80000000000001"/>
    <x v="34"/>
    <d v="2025-02-04T00:00:00"/>
    <s v="F"/>
    <x v="2"/>
    <x v="0"/>
    <x v="0"/>
    <x v="9"/>
    <x v="7"/>
    <x v="5"/>
    <x v="2"/>
  </r>
  <r>
    <x v="842"/>
    <x v="1"/>
    <x v="12"/>
    <n v="37.799999999999997"/>
    <n v="151.19999999999999"/>
    <x v="34"/>
    <d v="2025-02-05T00:00:00"/>
    <s v="F"/>
    <x v="0"/>
    <x v="2"/>
    <x v="0"/>
    <x v="11"/>
    <x v="3"/>
    <x v="5"/>
    <x v="2"/>
  </r>
  <r>
    <x v="843"/>
    <x v="6"/>
    <x v="14"/>
    <n v="96"/>
    <n v="1632"/>
    <x v="34"/>
    <d v="2025-02-07T00:00:00"/>
    <s v="F"/>
    <x v="4"/>
    <x v="1"/>
    <x v="0"/>
    <x v="18"/>
    <x v="2"/>
    <x v="5"/>
    <x v="2"/>
  </r>
  <r>
    <x v="844"/>
    <x v="1"/>
    <x v="0"/>
    <n v="83.6"/>
    <n v="83.6"/>
    <x v="34"/>
    <d v="2025-02-07T00:00:00"/>
    <s v="F"/>
    <x v="2"/>
    <x v="1"/>
    <x v="0"/>
    <x v="19"/>
    <x v="2"/>
    <x v="5"/>
    <x v="2"/>
  </r>
  <r>
    <x v="845"/>
    <x v="2"/>
    <x v="13"/>
    <n v="72.599999999999994"/>
    <n v="435.59999999999997"/>
    <x v="34"/>
    <d v="2025-02-05T00:00:00"/>
    <s v="F"/>
    <x v="0"/>
    <x v="0"/>
    <x v="0"/>
    <x v="21"/>
    <x v="3"/>
    <x v="5"/>
    <x v="2"/>
  </r>
  <r>
    <x v="846"/>
    <x v="5"/>
    <x v="28"/>
    <n v="69.099999999999994"/>
    <n v="1382"/>
    <x v="35"/>
    <d v="2025-02-11T00:00:00"/>
    <s v="M"/>
    <x v="0"/>
    <x v="2"/>
    <x v="0"/>
    <x v="21"/>
    <x v="4"/>
    <x v="5"/>
    <x v="1"/>
  </r>
  <r>
    <x v="847"/>
    <x v="4"/>
    <x v="1"/>
    <n v="22.6"/>
    <n v="45.2"/>
    <x v="35"/>
    <d v="2025-02-07T00:00:00"/>
    <s v="F"/>
    <x v="1"/>
    <x v="2"/>
    <x v="0"/>
    <x v="21"/>
    <x v="1"/>
    <x v="5"/>
    <x v="2"/>
  </r>
  <r>
    <x v="848"/>
    <x v="6"/>
    <x v="1"/>
    <n v="45.3"/>
    <n v="90.6"/>
    <x v="35"/>
    <d v="2025-02-09T00:00:00"/>
    <s v="M"/>
    <x v="4"/>
    <x v="2"/>
    <x v="0"/>
    <x v="21"/>
    <x v="5"/>
    <x v="5"/>
    <x v="1"/>
  </r>
  <r>
    <x v="849"/>
    <x v="2"/>
    <x v="1"/>
    <n v="115.1"/>
    <n v="230.2"/>
    <x v="35"/>
    <d v="2025-02-06T00:00:00"/>
    <s v="F"/>
    <x v="1"/>
    <x v="0"/>
    <x v="0"/>
    <x v="1"/>
    <x v="3"/>
    <x v="5"/>
    <x v="2"/>
  </r>
  <r>
    <x v="850"/>
    <x v="18"/>
    <x v="12"/>
    <n v="79"/>
    <n v="316"/>
    <x v="35"/>
    <d v="2025-02-07T00:00:00"/>
    <s v="M"/>
    <x v="2"/>
    <x v="4"/>
    <x v="0"/>
    <x v="1"/>
    <x v="1"/>
    <x v="5"/>
    <x v="1"/>
  </r>
  <r>
    <x v="851"/>
    <x v="6"/>
    <x v="9"/>
    <n v="52.8"/>
    <n v="264"/>
    <x v="35"/>
    <d v="2025-02-06T00:00:00"/>
    <s v="F"/>
    <x v="0"/>
    <x v="0"/>
    <x v="0"/>
    <x v="42"/>
    <x v="3"/>
    <x v="5"/>
    <x v="2"/>
  </r>
  <r>
    <x v="852"/>
    <x v="8"/>
    <x v="1"/>
    <n v="34.1"/>
    <n v="68.2"/>
    <x v="35"/>
    <d v="2025-02-06T00:00:00"/>
    <s v="M"/>
    <x v="3"/>
    <x v="2"/>
    <x v="0"/>
    <x v="44"/>
    <x v="3"/>
    <x v="5"/>
    <x v="1"/>
  </r>
  <r>
    <x v="853"/>
    <x v="6"/>
    <x v="9"/>
    <n v="107.9"/>
    <n v="539.5"/>
    <x v="35"/>
    <d v="2025-02-05T00:00:00"/>
    <s v="F"/>
    <x v="0"/>
    <x v="2"/>
    <x v="0"/>
    <x v="50"/>
    <x v="7"/>
    <x v="5"/>
    <x v="2"/>
  </r>
  <r>
    <x v="854"/>
    <x v="8"/>
    <x v="15"/>
    <n v="48.5"/>
    <n v="630.5"/>
    <x v="35"/>
    <d v="2025-02-05T00:00:00"/>
    <s v="M"/>
    <x v="2"/>
    <x v="2"/>
    <x v="0"/>
    <x v="3"/>
    <x v="7"/>
    <x v="5"/>
    <x v="1"/>
  </r>
  <r>
    <x v="855"/>
    <x v="5"/>
    <x v="2"/>
    <n v="34.700000000000003"/>
    <n v="104.10000000000001"/>
    <x v="35"/>
    <d v="2025-02-06T00:00:00"/>
    <s v=""/>
    <x v="4"/>
    <x v="1"/>
    <x v="0"/>
    <x v="3"/>
    <x v="3"/>
    <x v="5"/>
    <x v="0"/>
  </r>
  <r>
    <x v="856"/>
    <x v="8"/>
    <x v="0"/>
    <n v="16.8"/>
    <n v="16.8"/>
    <x v="35"/>
    <d v="2025-02-07T00:00:00"/>
    <s v="F"/>
    <x v="3"/>
    <x v="0"/>
    <x v="0"/>
    <x v="3"/>
    <x v="1"/>
    <x v="5"/>
    <x v="2"/>
  </r>
  <r>
    <x v="857"/>
    <x v="8"/>
    <x v="13"/>
    <n v="18.3"/>
    <n v="109.80000000000001"/>
    <x v="35"/>
    <d v="2025-02-08T00:00:00"/>
    <s v="F"/>
    <x v="0"/>
    <x v="0"/>
    <x v="0"/>
    <x v="3"/>
    <x v="2"/>
    <x v="5"/>
    <x v="2"/>
  </r>
  <r>
    <x v="858"/>
    <x v="18"/>
    <x v="2"/>
    <n v="55.9"/>
    <n v="167.7"/>
    <x v="35"/>
    <d v="2025-02-11T00:00:00"/>
    <s v="M"/>
    <x v="3"/>
    <x v="1"/>
    <x v="0"/>
    <x v="3"/>
    <x v="4"/>
    <x v="5"/>
    <x v="1"/>
  </r>
  <r>
    <x v="859"/>
    <x v="8"/>
    <x v="2"/>
    <n v="39.200000000000003"/>
    <n v="117.60000000000001"/>
    <x v="35"/>
    <d v="2025-02-07T00:00:00"/>
    <s v="F"/>
    <x v="0"/>
    <x v="1"/>
    <x v="0"/>
    <x v="3"/>
    <x v="1"/>
    <x v="5"/>
    <x v="2"/>
  </r>
  <r>
    <x v="860"/>
    <x v="15"/>
    <x v="12"/>
    <n v="66.5"/>
    <n v="266"/>
    <x v="35"/>
    <d v="2025-02-07T00:00:00"/>
    <s v=""/>
    <x v="3"/>
    <x v="1"/>
    <x v="0"/>
    <x v="3"/>
    <x v="1"/>
    <x v="5"/>
    <x v="0"/>
  </r>
  <r>
    <x v="861"/>
    <x v="6"/>
    <x v="13"/>
    <n v="52.1"/>
    <n v="312.60000000000002"/>
    <x v="35"/>
    <d v="2025-02-07T00:00:00"/>
    <s v="M"/>
    <x v="1"/>
    <x v="1"/>
    <x v="0"/>
    <x v="16"/>
    <x v="1"/>
    <x v="5"/>
    <x v="1"/>
  </r>
  <r>
    <x v="862"/>
    <x v="8"/>
    <x v="1"/>
    <n v="19"/>
    <n v="38"/>
    <x v="35"/>
    <d v="2025-02-06T00:00:00"/>
    <s v="M"/>
    <x v="4"/>
    <x v="2"/>
    <x v="0"/>
    <x v="6"/>
    <x v="3"/>
    <x v="5"/>
    <x v="1"/>
  </r>
  <r>
    <x v="863"/>
    <x v="7"/>
    <x v="2"/>
    <n v="84.8"/>
    <n v="254.39999999999998"/>
    <x v="35"/>
    <d v="2025-02-07T00:00:00"/>
    <s v="F"/>
    <x v="2"/>
    <x v="0"/>
    <x v="0"/>
    <x v="8"/>
    <x v="1"/>
    <x v="5"/>
    <x v="2"/>
  </r>
  <r>
    <x v="864"/>
    <x v="2"/>
    <x v="12"/>
    <n v="63.9"/>
    <n v="255.6"/>
    <x v="35"/>
    <d v="2025-02-08T00:00:00"/>
    <s v="F"/>
    <x v="0"/>
    <x v="0"/>
    <x v="0"/>
    <x v="8"/>
    <x v="2"/>
    <x v="5"/>
    <x v="2"/>
  </r>
  <r>
    <x v="865"/>
    <x v="2"/>
    <x v="2"/>
    <n v="65.5"/>
    <n v="196.5"/>
    <x v="35"/>
    <d v="2025-02-05T00:00:00"/>
    <s v="F"/>
    <x v="1"/>
    <x v="1"/>
    <x v="0"/>
    <x v="8"/>
    <x v="7"/>
    <x v="5"/>
    <x v="2"/>
  </r>
  <r>
    <x v="866"/>
    <x v="12"/>
    <x v="1"/>
    <n v="116.2"/>
    <n v="232.4"/>
    <x v="35"/>
    <d v="2025-02-11T00:00:00"/>
    <s v="M"/>
    <x v="3"/>
    <x v="0"/>
    <x v="0"/>
    <x v="17"/>
    <x v="4"/>
    <x v="5"/>
    <x v="1"/>
  </r>
  <r>
    <x v="867"/>
    <x v="10"/>
    <x v="12"/>
    <n v="22.9"/>
    <n v="91.6"/>
    <x v="35"/>
    <d v="2025-02-07T00:00:00"/>
    <s v="F"/>
    <x v="2"/>
    <x v="1"/>
    <x v="0"/>
    <x v="38"/>
    <x v="1"/>
    <x v="5"/>
    <x v="2"/>
  </r>
  <r>
    <x v="868"/>
    <x v="10"/>
    <x v="2"/>
    <n v="53.7"/>
    <n v="161.10000000000002"/>
    <x v="35"/>
    <d v="2025-02-06T00:00:00"/>
    <s v="M"/>
    <x v="0"/>
    <x v="4"/>
    <x v="0"/>
    <x v="18"/>
    <x v="3"/>
    <x v="5"/>
    <x v="1"/>
  </r>
  <r>
    <x v="869"/>
    <x v="6"/>
    <x v="9"/>
    <n v="43.2"/>
    <n v="216"/>
    <x v="35"/>
    <d v="2025-02-07T00:00:00"/>
    <s v="F"/>
    <x v="0"/>
    <x v="0"/>
    <x v="0"/>
    <x v="19"/>
    <x v="1"/>
    <x v="5"/>
    <x v="2"/>
  </r>
  <r>
    <x v="870"/>
    <x v="1"/>
    <x v="2"/>
    <n v="84.5"/>
    <n v="253.5"/>
    <x v="35"/>
    <d v="2025-02-07T00:00:00"/>
    <s v="M"/>
    <x v="2"/>
    <x v="2"/>
    <x v="0"/>
    <x v="51"/>
    <x v="1"/>
    <x v="5"/>
    <x v="1"/>
  </r>
  <r>
    <x v="871"/>
    <x v="3"/>
    <x v="1"/>
    <n v="42.2"/>
    <n v="84.4"/>
    <x v="35"/>
    <d v="2025-02-06T00:00:00"/>
    <s v="F"/>
    <x v="1"/>
    <x v="2"/>
    <x v="0"/>
    <x v="1"/>
    <x v="3"/>
    <x v="5"/>
    <x v="2"/>
  </r>
  <r>
    <x v="872"/>
    <x v="2"/>
    <x v="13"/>
    <n v="94.7"/>
    <n v="568.20000000000005"/>
    <x v="35"/>
    <d v="2025-02-08T00:00:00"/>
    <s v="F"/>
    <x v="1"/>
    <x v="2"/>
    <x v="0"/>
    <x v="2"/>
    <x v="2"/>
    <x v="5"/>
    <x v="2"/>
  </r>
  <r>
    <x v="873"/>
    <x v="8"/>
    <x v="16"/>
    <n v="16.7"/>
    <n v="300.59999999999997"/>
    <x v="35"/>
    <d v="2025-02-17T00:00:00"/>
    <s v="F"/>
    <x v="0"/>
    <x v="2"/>
    <x v="0"/>
    <x v="2"/>
    <x v="13"/>
    <x v="5"/>
    <x v="2"/>
  </r>
  <r>
    <x v="874"/>
    <x v="2"/>
    <x v="1"/>
    <n v="83.6"/>
    <n v="167.2"/>
    <x v="35"/>
    <d v="2025-02-11T00:00:00"/>
    <s v="F"/>
    <x v="1"/>
    <x v="0"/>
    <x v="0"/>
    <x v="3"/>
    <x v="4"/>
    <x v="5"/>
    <x v="2"/>
  </r>
  <r>
    <x v="875"/>
    <x v="7"/>
    <x v="13"/>
    <n v="33.6"/>
    <n v="201.60000000000002"/>
    <x v="36"/>
    <d v="2025-02-07T00:00:00"/>
    <s v="F"/>
    <x v="3"/>
    <x v="0"/>
    <x v="0"/>
    <x v="3"/>
    <x v="3"/>
    <x v="5"/>
    <x v="2"/>
  </r>
  <r>
    <x v="876"/>
    <x v="7"/>
    <x v="1"/>
    <n v="64.7"/>
    <n v="129.4"/>
    <x v="36"/>
    <d v="2025-02-08T00:00:00"/>
    <s v="M"/>
    <x v="1"/>
    <x v="2"/>
    <x v="0"/>
    <x v="3"/>
    <x v="1"/>
    <x v="5"/>
    <x v="1"/>
  </r>
  <r>
    <x v="877"/>
    <x v="0"/>
    <x v="2"/>
    <n v="15.7"/>
    <n v="47.099999999999994"/>
    <x v="36"/>
    <d v="2025-02-12T00:00:00"/>
    <s v="F"/>
    <x v="0"/>
    <x v="0"/>
    <x v="0"/>
    <x v="3"/>
    <x v="4"/>
    <x v="5"/>
    <x v="2"/>
  </r>
  <r>
    <x v="878"/>
    <x v="15"/>
    <x v="13"/>
    <n v="49.4"/>
    <n v="296.39999999999998"/>
    <x v="36"/>
    <d v="2025-02-06T00:00:00"/>
    <s v="M"/>
    <x v="1"/>
    <x v="0"/>
    <x v="0"/>
    <x v="3"/>
    <x v="7"/>
    <x v="5"/>
    <x v="1"/>
  </r>
  <r>
    <x v="879"/>
    <x v="10"/>
    <x v="13"/>
    <n v="37"/>
    <n v="222"/>
    <x v="36"/>
    <d v="2025-02-09T00:00:00"/>
    <s v="F"/>
    <x v="1"/>
    <x v="2"/>
    <x v="0"/>
    <x v="3"/>
    <x v="2"/>
    <x v="5"/>
    <x v="2"/>
  </r>
  <r>
    <x v="880"/>
    <x v="2"/>
    <x v="1"/>
    <n v="83.7"/>
    <n v="167.4"/>
    <x v="36"/>
    <d v="2025-02-08T00:00:00"/>
    <s v="F"/>
    <x v="3"/>
    <x v="2"/>
    <x v="0"/>
    <x v="3"/>
    <x v="1"/>
    <x v="5"/>
    <x v="2"/>
  </r>
  <r>
    <x v="881"/>
    <x v="1"/>
    <x v="9"/>
    <n v="35.1"/>
    <n v="175.5"/>
    <x v="36"/>
    <d v="2025-02-07T00:00:00"/>
    <s v="F"/>
    <x v="0"/>
    <x v="0"/>
    <x v="0"/>
    <x v="3"/>
    <x v="3"/>
    <x v="5"/>
    <x v="2"/>
  </r>
  <r>
    <x v="882"/>
    <x v="16"/>
    <x v="8"/>
    <n v="74"/>
    <n v="592"/>
    <x v="36"/>
    <d v="2025-02-07T00:00:00"/>
    <s v="F"/>
    <x v="4"/>
    <x v="0"/>
    <x v="0"/>
    <x v="37"/>
    <x v="3"/>
    <x v="5"/>
    <x v="2"/>
  </r>
  <r>
    <x v="883"/>
    <x v="6"/>
    <x v="25"/>
    <n v="55.5"/>
    <n v="1332"/>
    <x v="36"/>
    <d v="2025-02-09T00:00:00"/>
    <s v="M"/>
    <x v="3"/>
    <x v="0"/>
    <x v="0"/>
    <x v="49"/>
    <x v="2"/>
    <x v="5"/>
    <x v="1"/>
  </r>
  <r>
    <x v="884"/>
    <x v="11"/>
    <x v="1"/>
    <n v="38.9"/>
    <n v="77.8"/>
    <x v="36"/>
    <d v="2025-02-08T00:00:00"/>
    <s v="F"/>
    <x v="1"/>
    <x v="2"/>
    <x v="0"/>
    <x v="25"/>
    <x v="1"/>
    <x v="5"/>
    <x v="2"/>
  </r>
  <r>
    <x v="885"/>
    <x v="16"/>
    <x v="1"/>
    <n v="64.599999999999994"/>
    <n v="129.19999999999999"/>
    <x v="36"/>
    <d v="2025-02-13T00:00:00"/>
    <s v="M"/>
    <x v="2"/>
    <x v="1"/>
    <x v="0"/>
    <x v="25"/>
    <x v="6"/>
    <x v="5"/>
    <x v="1"/>
  </r>
  <r>
    <x v="886"/>
    <x v="2"/>
    <x v="2"/>
    <n v="95.3"/>
    <n v="285.89999999999998"/>
    <x v="36"/>
    <d v="2025-02-07T00:00:00"/>
    <s v="M"/>
    <x v="0"/>
    <x v="0"/>
    <x v="0"/>
    <x v="5"/>
    <x v="3"/>
    <x v="5"/>
    <x v="1"/>
  </r>
  <r>
    <x v="887"/>
    <x v="13"/>
    <x v="2"/>
    <n v="25.8"/>
    <n v="77.400000000000006"/>
    <x v="36"/>
    <d v="2025-02-07T00:00:00"/>
    <s v="F"/>
    <x v="1"/>
    <x v="1"/>
    <x v="0"/>
    <x v="6"/>
    <x v="3"/>
    <x v="5"/>
    <x v="2"/>
  </r>
  <r>
    <x v="888"/>
    <x v="0"/>
    <x v="1"/>
    <n v="11.6"/>
    <n v="23.2"/>
    <x v="36"/>
    <d v="2025-02-10T00:00:00"/>
    <s v="F"/>
    <x v="1"/>
    <x v="1"/>
    <x v="0"/>
    <x v="6"/>
    <x v="5"/>
    <x v="5"/>
    <x v="2"/>
  </r>
  <r>
    <x v="889"/>
    <x v="7"/>
    <x v="0"/>
    <n v="52.3"/>
    <n v="52.3"/>
    <x v="36"/>
    <d v="2025-02-07T00:00:00"/>
    <s v="F"/>
    <x v="1"/>
    <x v="0"/>
    <x v="0"/>
    <x v="8"/>
    <x v="3"/>
    <x v="5"/>
    <x v="2"/>
  </r>
  <r>
    <x v="890"/>
    <x v="2"/>
    <x v="7"/>
    <n v="112.2"/>
    <n v="1122"/>
    <x v="36"/>
    <d v="2025-02-07T00:00:00"/>
    <s v="F"/>
    <x v="1"/>
    <x v="1"/>
    <x v="0"/>
    <x v="8"/>
    <x v="3"/>
    <x v="5"/>
    <x v="2"/>
  </r>
  <r>
    <x v="891"/>
    <x v="4"/>
    <x v="9"/>
    <n v="34.6"/>
    <n v="173"/>
    <x v="36"/>
    <d v="2025-02-08T00:00:00"/>
    <s v="M"/>
    <x v="2"/>
    <x v="0"/>
    <x v="0"/>
    <x v="8"/>
    <x v="1"/>
    <x v="5"/>
    <x v="1"/>
  </r>
  <r>
    <x v="892"/>
    <x v="14"/>
    <x v="12"/>
    <n v="20.100000000000001"/>
    <n v="80.400000000000006"/>
    <x v="36"/>
    <d v="2025-02-12T00:00:00"/>
    <s v="M"/>
    <x v="1"/>
    <x v="2"/>
    <x v="0"/>
    <x v="8"/>
    <x v="4"/>
    <x v="5"/>
    <x v="1"/>
  </r>
  <r>
    <x v="893"/>
    <x v="2"/>
    <x v="12"/>
    <n v="56.4"/>
    <n v="225.6"/>
    <x v="36"/>
    <d v="2025-02-08T00:00:00"/>
    <s v="F"/>
    <x v="2"/>
    <x v="0"/>
    <x v="0"/>
    <x v="10"/>
    <x v="1"/>
    <x v="5"/>
    <x v="2"/>
  </r>
  <r>
    <x v="894"/>
    <x v="13"/>
    <x v="11"/>
    <n v="55.3"/>
    <n v="497.7"/>
    <x v="36"/>
    <d v="2025-02-08T00:00:00"/>
    <s v="F"/>
    <x v="1"/>
    <x v="4"/>
    <x v="0"/>
    <x v="11"/>
    <x v="1"/>
    <x v="5"/>
    <x v="2"/>
  </r>
  <r>
    <x v="895"/>
    <x v="2"/>
    <x v="31"/>
    <n v="75.5"/>
    <n v="2114"/>
    <x v="36"/>
    <d v="2025-02-07T00:00:00"/>
    <s v="F"/>
    <x v="0"/>
    <x v="0"/>
    <x v="0"/>
    <x v="11"/>
    <x v="3"/>
    <x v="5"/>
    <x v="2"/>
  </r>
  <r>
    <x v="896"/>
    <x v="8"/>
    <x v="0"/>
    <n v="23.6"/>
    <n v="23.6"/>
    <x v="36"/>
    <d v="2025-02-11T00:00:00"/>
    <s v="F"/>
    <x v="0"/>
    <x v="0"/>
    <x v="0"/>
    <x v="19"/>
    <x v="0"/>
    <x v="5"/>
    <x v="2"/>
  </r>
  <r>
    <x v="897"/>
    <x v="9"/>
    <x v="1"/>
    <n v="70.7"/>
    <n v="141.4"/>
    <x v="36"/>
    <d v="2025-02-08T00:00:00"/>
    <s v="F"/>
    <x v="2"/>
    <x v="0"/>
    <x v="0"/>
    <x v="19"/>
    <x v="1"/>
    <x v="5"/>
    <x v="2"/>
  </r>
  <r>
    <x v="898"/>
    <x v="12"/>
    <x v="1"/>
    <n v="43.2"/>
    <n v="86.4"/>
    <x v="36"/>
    <d v="2025-02-07T00:00:00"/>
    <s v="F"/>
    <x v="2"/>
    <x v="0"/>
    <x v="0"/>
    <x v="31"/>
    <x v="3"/>
    <x v="5"/>
    <x v="2"/>
  </r>
  <r>
    <x v="899"/>
    <x v="9"/>
    <x v="11"/>
    <n v="70"/>
    <n v="630"/>
    <x v="36"/>
    <d v="2025-02-07T00:00:00"/>
    <s v=""/>
    <x v="1"/>
    <x v="0"/>
    <x v="0"/>
    <x v="52"/>
    <x v="3"/>
    <x v="5"/>
    <x v="0"/>
  </r>
  <r>
    <x v="900"/>
    <x v="0"/>
    <x v="1"/>
    <n v="20.5"/>
    <n v="41"/>
    <x v="36"/>
    <d v="2025-02-08T00:00:00"/>
    <s v="F"/>
    <x v="2"/>
    <x v="4"/>
    <x v="0"/>
    <x v="13"/>
    <x v="1"/>
    <x v="5"/>
    <x v="2"/>
  </r>
  <r>
    <x v="901"/>
    <x v="0"/>
    <x v="12"/>
    <n v="29.1"/>
    <n v="116.4"/>
    <x v="36"/>
    <d v="2025-02-07T00:00:00"/>
    <s v="F"/>
    <x v="3"/>
    <x v="0"/>
    <x v="0"/>
    <x v="28"/>
    <x v="3"/>
    <x v="5"/>
    <x v="2"/>
  </r>
  <r>
    <x v="902"/>
    <x v="6"/>
    <x v="11"/>
    <n v="53.6"/>
    <n v="482.40000000000003"/>
    <x v="36"/>
    <d v="2025-02-07T00:00:00"/>
    <s v="M"/>
    <x v="2"/>
    <x v="1"/>
    <x v="0"/>
    <x v="3"/>
    <x v="3"/>
    <x v="5"/>
    <x v="1"/>
  </r>
  <r>
    <x v="903"/>
    <x v="6"/>
    <x v="9"/>
    <n v="72.3"/>
    <n v="361.5"/>
    <x v="36"/>
    <d v="2025-02-08T00:00:00"/>
    <s v="F"/>
    <x v="1"/>
    <x v="0"/>
    <x v="0"/>
    <x v="3"/>
    <x v="1"/>
    <x v="5"/>
    <x v="2"/>
  </r>
  <r>
    <x v="904"/>
    <x v="13"/>
    <x v="12"/>
    <n v="22.6"/>
    <n v="90.4"/>
    <x v="36"/>
    <d v="2025-02-09T00:00:00"/>
    <s v="O"/>
    <x v="0"/>
    <x v="1"/>
    <x v="0"/>
    <x v="3"/>
    <x v="2"/>
    <x v="5"/>
    <x v="3"/>
  </r>
  <r>
    <x v="905"/>
    <x v="9"/>
    <x v="1"/>
    <n v="44.2"/>
    <n v="88.4"/>
    <x v="36"/>
    <d v="2025-02-10T00:00:00"/>
    <s v=""/>
    <x v="2"/>
    <x v="4"/>
    <x v="0"/>
    <x v="3"/>
    <x v="5"/>
    <x v="5"/>
    <x v="0"/>
  </r>
  <r>
    <x v="906"/>
    <x v="9"/>
    <x v="2"/>
    <n v="94.1"/>
    <n v="282.29999999999995"/>
    <x v="36"/>
    <d v="2025-02-19T00:00:00"/>
    <s v="F"/>
    <x v="2"/>
    <x v="2"/>
    <x v="0"/>
    <x v="3"/>
    <x v="10"/>
    <x v="5"/>
    <x v="2"/>
  </r>
  <r>
    <x v="907"/>
    <x v="8"/>
    <x v="2"/>
    <n v="17.899999999999999"/>
    <n v="53.699999999999996"/>
    <x v="36"/>
    <d v="2025-02-08T00:00:00"/>
    <s v="M"/>
    <x v="1"/>
    <x v="1"/>
    <x v="0"/>
    <x v="3"/>
    <x v="1"/>
    <x v="5"/>
    <x v="1"/>
  </r>
  <r>
    <x v="908"/>
    <x v="12"/>
    <x v="3"/>
    <n v="52.7"/>
    <n v="368.90000000000003"/>
    <x v="36"/>
    <d v="2025-02-07T00:00:00"/>
    <s v="M"/>
    <x v="1"/>
    <x v="1"/>
    <x v="0"/>
    <x v="3"/>
    <x v="3"/>
    <x v="5"/>
    <x v="1"/>
  </r>
  <r>
    <x v="909"/>
    <x v="8"/>
    <x v="0"/>
    <n v="36.799999999999997"/>
    <n v="36.799999999999997"/>
    <x v="36"/>
    <d v="2025-02-06T00:00:00"/>
    <s v=""/>
    <x v="0"/>
    <x v="2"/>
    <x v="0"/>
    <x v="3"/>
    <x v="7"/>
    <x v="5"/>
    <x v="0"/>
  </r>
  <r>
    <x v="910"/>
    <x v="4"/>
    <x v="0"/>
    <n v="52.5"/>
    <n v="52.5"/>
    <x v="36"/>
    <d v="2025-02-07T00:00:00"/>
    <s v="M"/>
    <x v="0"/>
    <x v="1"/>
    <x v="0"/>
    <x v="6"/>
    <x v="3"/>
    <x v="5"/>
    <x v="1"/>
  </r>
  <r>
    <x v="911"/>
    <x v="2"/>
    <x v="1"/>
    <n v="133.80000000000001"/>
    <n v="267.60000000000002"/>
    <x v="36"/>
    <d v="2025-02-08T00:00:00"/>
    <s v="M"/>
    <x v="0"/>
    <x v="1"/>
    <x v="0"/>
    <x v="7"/>
    <x v="1"/>
    <x v="5"/>
    <x v="1"/>
  </r>
  <r>
    <x v="912"/>
    <x v="6"/>
    <x v="1"/>
    <n v="53.2"/>
    <n v="106.4"/>
    <x v="36"/>
    <d v="2025-02-08T00:00:00"/>
    <s v="M"/>
    <x v="0"/>
    <x v="0"/>
    <x v="0"/>
    <x v="17"/>
    <x v="1"/>
    <x v="5"/>
    <x v="1"/>
  </r>
  <r>
    <x v="913"/>
    <x v="14"/>
    <x v="13"/>
    <n v="18.7"/>
    <n v="112.19999999999999"/>
    <x v="36"/>
    <d v="2025-02-08T00:00:00"/>
    <s v=""/>
    <x v="0"/>
    <x v="1"/>
    <x v="0"/>
    <x v="10"/>
    <x v="1"/>
    <x v="5"/>
    <x v="0"/>
  </r>
  <r>
    <x v="914"/>
    <x v="6"/>
    <x v="12"/>
    <n v="108.8"/>
    <n v="435.2"/>
    <x v="36"/>
    <d v="2025-02-07T00:00:00"/>
    <s v="F"/>
    <x v="3"/>
    <x v="2"/>
    <x v="0"/>
    <x v="11"/>
    <x v="3"/>
    <x v="5"/>
    <x v="2"/>
  </r>
  <r>
    <x v="915"/>
    <x v="15"/>
    <x v="9"/>
    <n v="38.5"/>
    <n v="192.5"/>
    <x v="36"/>
    <d v="2025-02-10T00:00:00"/>
    <s v="F"/>
    <x v="0"/>
    <x v="1"/>
    <x v="0"/>
    <x v="14"/>
    <x v="5"/>
    <x v="5"/>
    <x v="2"/>
  </r>
  <r>
    <x v="916"/>
    <x v="10"/>
    <x v="7"/>
    <n v="46.5"/>
    <n v="465"/>
    <x v="36"/>
    <d v="2025-02-08T00:00:00"/>
    <s v="M"/>
    <x v="2"/>
    <x v="1"/>
    <x v="0"/>
    <x v="2"/>
    <x v="1"/>
    <x v="5"/>
    <x v="1"/>
  </r>
  <r>
    <x v="917"/>
    <x v="2"/>
    <x v="2"/>
    <n v="75.8"/>
    <n v="227.39999999999998"/>
    <x v="36"/>
    <d v="2025-02-10T00:00:00"/>
    <s v="F"/>
    <x v="1"/>
    <x v="4"/>
    <x v="0"/>
    <x v="44"/>
    <x v="5"/>
    <x v="5"/>
    <x v="2"/>
  </r>
  <r>
    <x v="918"/>
    <x v="8"/>
    <x v="0"/>
    <n v="20.9"/>
    <n v="20.9"/>
    <x v="36"/>
    <d v="2025-02-10T00:00:00"/>
    <s v="M"/>
    <x v="0"/>
    <x v="0"/>
    <x v="0"/>
    <x v="22"/>
    <x v="5"/>
    <x v="5"/>
    <x v="1"/>
  </r>
  <r>
    <x v="919"/>
    <x v="18"/>
    <x v="2"/>
    <n v="47.4"/>
    <n v="142.19999999999999"/>
    <x v="36"/>
    <d v="2025-02-09T00:00:00"/>
    <s v="F"/>
    <x v="0"/>
    <x v="0"/>
    <x v="0"/>
    <x v="3"/>
    <x v="2"/>
    <x v="5"/>
    <x v="2"/>
  </r>
  <r>
    <x v="920"/>
    <x v="9"/>
    <x v="1"/>
    <n v="53.8"/>
    <n v="107.6"/>
    <x v="36"/>
    <d v="2025-02-07T00:00:00"/>
    <s v=""/>
    <x v="0"/>
    <x v="1"/>
    <x v="0"/>
    <x v="3"/>
    <x v="3"/>
    <x v="5"/>
    <x v="0"/>
  </r>
  <r>
    <x v="921"/>
    <x v="8"/>
    <x v="2"/>
    <n v="24.6"/>
    <n v="73.800000000000011"/>
    <x v="36"/>
    <d v="2025-02-08T00:00:00"/>
    <s v="O"/>
    <x v="1"/>
    <x v="2"/>
    <x v="0"/>
    <x v="3"/>
    <x v="1"/>
    <x v="5"/>
    <x v="3"/>
  </r>
  <r>
    <x v="922"/>
    <x v="9"/>
    <x v="2"/>
    <n v="70.900000000000006"/>
    <n v="212.70000000000002"/>
    <x v="36"/>
    <d v="2025-02-11T00:00:00"/>
    <s v="F"/>
    <x v="2"/>
    <x v="2"/>
    <x v="0"/>
    <x v="3"/>
    <x v="0"/>
    <x v="5"/>
    <x v="2"/>
  </r>
  <r>
    <x v="923"/>
    <x v="17"/>
    <x v="2"/>
    <n v="31.9"/>
    <n v="95.699999999999989"/>
    <x v="36"/>
    <d v="2025-02-08T00:00:00"/>
    <s v="F"/>
    <x v="2"/>
    <x v="2"/>
    <x v="0"/>
    <x v="3"/>
    <x v="1"/>
    <x v="5"/>
    <x v="2"/>
  </r>
  <r>
    <x v="924"/>
    <x v="0"/>
    <x v="1"/>
    <n v="20.399999999999999"/>
    <n v="40.799999999999997"/>
    <x v="36"/>
    <d v="2025-02-10T00:00:00"/>
    <s v="M"/>
    <x v="3"/>
    <x v="2"/>
    <x v="0"/>
    <x v="3"/>
    <x v="5"/>
    <x v="5"/>
    <x v="1"/>
  </r>
  <r>
    <x v="925"/>
    <x v="8"/>
    <x v="1"/>
    <n v="18.600000000000001"/>
    <n v="37.200000000000003"/>
    <x v="36"/>
    <d v="2025-02-08T00:00:00"/>
    <s v=""/>
    <x v="0"/>
    <x v="1"/>
    <x v="0"/>
    <x v="3"/>
    <x v="1"/>
    <x v="5"/>
    <x v="0"/>
  </r>
  <r>
    <x v="926"/>
    <x v="4"/>
    <x v="9"/>
    <n v="48.3"/>
    <n v="241.5"/>
    <x v="36"/>
    <d v="2025-02-08T00:00:00"/>
    <s v="F"/>
    <x v="1"/>
    <x v="0"/>
    <x v="0"/>
    <x v="3"/>
    <x v="1"/>
    <x v="5"/>
    <x v="2"/>
  </r>
  <r>
    <x v="927"/>
    <x v="0"/>
    <x v="12"/>
    <n v="27.7"/>
    <n v="110.8"/>
    <x v="36"/>
    <d v="2025-02-08T00:00:00"/>
    <s v="F"/>
    <x v="0"/>
    <x v="0"/>
    <x v="0"/>
    <x v="3"/>
    <x v="1"/>
    <x v="5"/>
    <x v="2"/>
  </r>
  <r>
    <x v="928"/>
    <x v="4"/>
    <x v="9"/>
    <n v="22.5"/>
    <n v="112.5"/>
    <x v="36"/>
    <d v="2025-02-08T00:00:00"/>
    <s v="F"/>
    <x v="4"/>
    <x v="2"/>
    <x v="0"/>
    <x v="3"/>
    <x v="1"/>
    <x v="5"/>
    <x v="2"/>
  </r>
  <r>
    <x v="929"/>
    <x v="17"/>
    <x v="9"/>
    <n v="21.6"/>
    <n v="108"/>
    <x v="36"/>
    <d v="2025-02-14T00:00:00"/>
    <s v="F"/>
    <x v="0"/>
    <x v="1"/>
    <x v="0"/>
    <x v="3"/>
    <x v="9"/>
    <x v="5"/>
    <x v="2"/>
  </r>
  <r>
    <x v="930"/>
    <x v="10"/>
    <x v="3"/>
    <n v="26.3"/>
    <n v="184.1"/>
    <x v="36"/>
    <d v="2025-02-06T00:00:00"/>
    <s v="F"/>
    <x v="2"/>
    <x v="1"/>
    <x v="0"/>
    <x v="3"/>
    <x v="7"/>
    <x v="5"/>
    <x v="2"/>
  </r>
  <r>
    <x v="931"/>
    <x v="6"/>
    <x v="3"/>
    <n v="103"/>
    <n v="721"/>
    <x v="37"/>
    <d v="2025-02-08T00:00:00"/>
    <s v="M"/>
    <x v="0"/>
    <x v="2"/>
    <x v="0"/>
    <x v="6"/>
    <x v="3"/>
    <x v="5"/>
    <x v="1"/>
  </r>
  <r>
    <x v="932"/>
    <x v="5"/>
    <x v="20"/>
    <n v="46.6"/>
    <n v="699"/>
    <x v="37"/>
    <d v="2025-02-08T00:00:00"/>
    <s v="F"/>
    <x v="0"/>
    <x v="1"/>
    <x v="0"/>
    <x v="6"/>
    <x v="3"/>
    <x v="5"/>
    <x v="2"/>
  </r>
  <r>
    <x v="933"/>
    <x v="0"/>
    <x v="9"/>
    <n v="32.200000000000003"/>
    <n v="161"/>
    <x v="37"/>
    <d v="2025-02-10T00:00:00"/>
    <s v="F"/>
    <x v="0"/>
    <x v="2"/>
    <x v="0"/>
    <x v="36"/>
    <x v="2"/>
    <x v="5"/>
    <x v="2"/>
  </r>
  <r>
    <x v="934"/>
    <x v="8"/>
    <x v="2"/>
    <n v="22"/>
    <n v="66"/>
    <x v="37"/>
    <d v="2025-02-14T00:00:00"/>
    <s v="M"/>
    <x v="1"/>
    <x v="0"/>
    <x v="0"/>
    <x v="7"/>
    <x v="6"/>
    <x v="5"/>
    <x v="1"/>
  </r>
  <r>
    <x v="935"/>
    <x v="0"/>
    <x v="1"/>
    <n v="25.2"/>
    <n v="50.4"/>
    <x v="37"/>
    <d v="2025-02-11T00:00:00"/>
    <s v="F"/>
    <x v="0"/>
    <x v="0"/>
    <x v="0"/>
    <x v="7"/>
    <x v="5"/>
    <x v="5"/>
    <x v="2"/>
  </r>
  <r>
    <x v="936"/>
    <x v="1"/>
    <x v="13"/>
    <n v="68.7"/>
    <n v="412.20000000000005"/>
    <x v="37"/>
    <d v="2025-02-09T00:00:00"/>
    <s v="M"/>
    <x v="4"/>
    <x v="0"/>
    <x v="0"/>
    <x v="8"/>
    <x v="1"/>
    <x v="5"/>
    <x v="1"/>
  </r>
  <r>
    <x v="937"/>
    <x v="0"/>
    <x v="2"/>
    <n v="22.2"/>
    <n v="66.599999999999994"/>
    <x v="37"/>
    <d v="2025-02-10T00:00:00"/>
    <s v="M"/>
    <x v="2"/>
    <x v="2"/>
    <x v="0"/>
    <x v="8"/>
    <x v="2"/>
    <x v="5"/>
    <x v="1"/>
  </r>
  <r>
    <x v="938"/>
    <x v="1"/>
    <x v="3"/>
    <n v="36"/>
    <n v="252"/>
    <x v="37"/>
    <d v="2025-02-08T00:00:00"/>
    <s v="F"/>
    <x v="1"/>
    <x v="0"/>
    <x v="0"/>
    <x v="8"/>
    <x v="3"/>
    <x v="5"/>
    <x v="2"/>
  </r>
  <r>
    <x v="939"/>
    <x v="18"/>
    <x v="0"/>
    <n v="50.6"/>
    <n v="50.6"/>
    <x v="37"/>
    <d v="2025-02-09T00:00:00"/>
    <s v="F"/>
    <x v="0"/>
    <x v="1"/>
    <x v="0"/>
    <x v="8"/>
    <x v="1"/>
    <x v="5"/>
    <x v="2"/>
  </r>
  <r>
    <x v="940"/>
    <x v="15"/>
    <x v="1"/>
    <n v="44.9"/>
    <n v="89.8"/>
    <x v="37"/>
    <d v="2025-02-09T00:00:00"/>
    <s v="M"/>
    <x v="0"/>
    <x v="1"/>
    <x v="0"/>
    <x v="8"/>
    <x v="1"/>
    <x v="5"/>
    <x v="1"/>
  </r>
  <r>
    <x v="941"/>
    <x v="6"/>
    <x v="2"/>
    <n v="71.599999999999994"/>
    <n v="214.79999999999998"/>
    <x v="37"/>
    <d v="2025-02-11T00:00:00"/>
    <s v="M"/>
    <x v="1"/>
    <x v="2"/>
    <x v="0"/>
    <x v="10"/>
    <x v="5"/>
    <x v="5"/>
    <x v="1"/>
  </r>
  <r>
    <x v="942"/>
    <x v="6"/>
    <x v="13"/>
    <n v="51.5"/>
    <n v="309"/>
    <x v="37"/>
    <d v="2025-02-09T00:00:00"/>
    <s v=""/>
    <x v="4"/>
    <x v="0"/>
    <x v="0"/>
    <x v="11"/>
    <x v="1"/>
    <x v="5"/>
    <x v="0"/>
  </r>
  <r>
    <x v="943"/>
    <x v="7"/>
    <x v="9"/>
    <n v="55.5"/>
    <n v="277.5"/>
    <x v="37"/>
    <d v="2025-02-08T00:00:00"/>
    <s v="M"/>
    <x v="1"/>
    <x v="1"/>
    <x v="0"/>
    <x v="11"/>
    <x v="3"/>
    <x v="5"/>
    <x v="1"/>
  </r>
  <r>
    <x v="944"/>
    <x v="6"/>
    <x v="0"/>
    <n v="51.7"/>
    <n v="51.7"/>
    <x v="37"/>
    <d v="2025-02-21T00:00:00"/>
    <s v="M"/>
    <x v="2"/>
    <x v="0"/>
    <x v="0"/>
    <x v="19"/>
    <x v="12"/>
    <x v="5"/>
    <x v="1"/>
  </r>
  <r>
    <x v="945"/>
    <x v="8"/>
    <x v="38"/>
    <n v="45.5"/>
    <n v="955.5"/>
    <x v="37"/>
    <d v="2025-02-08T00:00:00"/>
    <s v="F"/>
    <x v="3"/>
    <x v="2"/>
    <x v="0"/>
    <x v="19"/>
    <x v="3"/>
    <x v="5"/>
    <x v="2"/>
  </r>
  <r>
    <x v="946"/>
    <x v="8"/>
    <x v="1"/>
    <n v="33.799999999999997"/>
    <n v="67.599999999999994"/>
    <x v="37"/>
    <d v="2025-02-13T00:00:00"/>
    <s v="F"/>
    <x v="3"/>
    <x v="0"/>
    <x v="0"/>
    <x v="20"/>
    <x v="4"/>
    <x v="5"/>
    <x v="2"/>
  </r>
  <r>
    <x v="947"/>
    <x v="3"/>
    <x v="2"/>
    <n v="76.5"/>
    <n v="229.5"/>
    <x v="37"/>
    <d v="2025-02-08T00:00:00"/>
    <s v="F"/>
    <x v="0"/>
    <x v="1"/>
    <x v="0"/>
    <x v="21"/>
    <x v="3"/>
    <x v="5"/>
    <x v="2"/>
  </r>
  <r>
    <x v="948"/>
    <x v="9"/>
    <x v="2"/>
    <n v="42.6"/>
    <n v="127.80000000000001"/>
    <x v="37"/>
    <d v="2025-02-13T00:00:00"/>
    <s v="F"/>
    <x v="2"/>
    <x v="2"/>
    <x v="0"/>
    <x v="2"/>
    <x v="4"/>
    <x v="5"/>
    <x v="2"/>
  </r>
  <r>
    <x v="949"/>
    <x v="6"/>
    <x v="2"/>
    <n v="44.1"/>
    <n v="132.30000000000001"/>
    <x v="37"/>
    <d v="2025-02-09T00:00:00"/>
    <s v="F"/>
    <x v="1"/>
    <x v="1"/>
    <x v="0"/>
    <x v="22"/>
    <x v="1"/>
    <x v="5"/>
    <x v="2"/>
  </r>
  <r>
    <x v="950"/>
    <x v="8"/>
    <x v="1"/>
    <n v="40.9"/>
    <n v="81.8"/>
    <x v="37"/>
    <d v="2025-02-11T00:00:00"/>
    <s v="M"/>
    <x v="0"/>
    <x v="0"/>
    <x v="0"/>
    <x v="3"/>
    <x v="5"/>
    <x v="5"/>
    <x v="1"/>
  </r>
  <r>
    <x v="951"/>
    <x v="9"/>
    <x v="2"/>
    <n v="49.1"/>
    <n v="147.30000000000001"/>
    <x v="37"/>
    <d v="2025-02-11T00:00:00"/>
    <s v="F"/>
    <x v="3"/>
    <x v="1"/>
    <x v="0"/>
    <x v="3"/>
    <x v="5"/>
    <x v="5"/>
    <x v="2"/>
  </r>
  <r>
    <x v="952"/>
    <x v="18"/>
    <x v="0"/>
    <n v="85.3"/>
    <n v="85.3"/>
    <x v="37"/>
    <d v="2025-02-11T00:00:00"/>
    <s v="M"/>
    <x v="1"/>
    <x v="1"/>
    <x v="0"/>
    <x v="3"/>
    <x v="5"/>
    <x v="5"/>
    <x v="1"/>
  </r>
  <r>
    <x v="953"/>
    <x v="6"/>
    <x v="12"/>
    <n v="43.1"/>
    <n v="172.4"/>
    <x v="38"/>
    <d v="2025-02-11T00:00:00"/>
    <s v="M"/>
    <x v="0"/>
    <x v="0"/>
    <x v="0"/>
    <x v="3"/>
    <x v="2"/>
    <x v="5"/>
    <x v="1"/>
  </r>
  <r>
    <x v="954"/>
    <x v="4"/>
    <x v="12"/>
    <n v="46.2"/>
    <n v="184.8"/>
    <x v="38"/>
    <d v="2025-02-09T00:00:00"/>
    <s v="M"/>
    <x v="2"/>
    <x v="0"/>
    <x v="0"/>
    <x v="3"/>
    <x v="3"/>
    <x v="5"/>
    <x v="1"/>
  </r>
  <r>
    <x v="955"/>
    <x v="1"/>
    <x v="0"/>
    <n v="74.400000000000006"/>
    <n v="74.400000000000006"/>
    <x v="38"/>
    <d v="2025-02-10T00:00:00"/>
    <s v="M"/>
    <x v="4"/>
    <x v="2"/>
    <x v="0"/>
    <x v="3"/>
    <x v="1"/>
    <x v="5"/>
    <x v="1"/>
  </r>
  <r>
    <x v="956"/>
    <x v="17"/>
    <x v="1"/>
    <n v="51.2"/>
    <n v="102.4"/>
    <x v="38"/>
    <d v="2025-02-09T00:00:00"/>
    <s v="M"/>
    <x v="1"/>
    <x v="0"/>
    <x v="0"/>
    <x v="3"/>
    <x v="3"/>
    <x v="5"/>
    <x v="1"/>
  </r>
  <r>
    <x v="957"/>
    <x v="14"/>
    <x v="12"/>
    <n v="11.8"/>
    <n v="47.2"/>
    <x v="38"/>
    <d v="2025-02-08T00:00:00"/>
    <s v="M"/>
    <x v="2"/>
    <x v="0"/>
    <x v="0"/>
    <x v="3"/>
    <x v="7"/>
    <x v="5"/>
    <x v="1"/>
  </r>
  <r>
    <x v="958"/>
    <x v="10"/>
    <x v="6"/>
    <n v="40.799999999999997"/>
    <n v="1101.5999999999999"/>
    <x v="38"/>
    <d v="2025-02-09T00:00:00"/>
    <s v="F"/>
    <x v="3"/>
    <x v="2"/>
    <x v="0"/>
    <x v="3"/>
    <x v="3"/>
    <x v="5"/>
    <x v="2"/>
  </r>
  <r>
    <x v="959"/>
    <x v="8"/>
    <x v="0"/>
    <n v="24.7"/>
    <n v="24.7"/>
    <x v="38"/>
    <d v="2025-02-10T00:00:00"/>
    <s v="F"/>
    <x v="2"/>
    <x v="1"/>
    <x v="0"/>
    <x v="3"/>
    <x v="1"/>
    <x v="5"/>
    <x v="2"/>
  </r>
  <r>
    <x v="960"/>
    <x v="8"/>
    <x v="3"/>
    <n v="22.1"/>
    <n v="154.70000000000002"/>
    <x v="38"/>
    <d v="2025-02-08T00:00:00"/>
    <s v="F"/>
    <x v="2"/>
    <x v="4"/>
    <x v="0"/>
    <x v="3"/>
    <x v="7"/>
    <x v="5"/>
    <x v="2"/>
  </r>
  <r>
    <x v="961"/>
    <x v="8"/>
    <x v="0"/>
    <n v="18.100000000000001"/>
    <n v="18.100000000000001"/>
    <x v="38"/>
    <d v="2025-02-12T00:00:00"/>
    <s v="M"/>
    <x v="3"/>
    <x v="2"/>
    <x v="0"/>
    <x v="3"/>
    <x v="5"/>
    <x v="5"/>
    <x v="1"/>
  </r>
  <r>
    <x v="962"/>
    <x v="17"/>
    <x v="1"/>
    <n v="58.8"/>
    <n v="117.6"/>
    <x v="38"/>
    <d v="2025-02-11T00:00:00"/>
    <s v="F"/>
    <x v="0"/>
    <x v="0"/>
    <x v="0"/>
    <x v="25"/>
    <x v="2"/>
    <x v="5"/>
    <x v="2"/>
  </r>
  <r>
    <x v="963"/>
    <x v="18"/>
    <x v="1"/>
    <n v="30.8"/>
    <n v="61.6"/>
    <x v="38"/>
    <d v="2025-02-09T00:00:00"/>
    <s v="F"/>
    <x v="0"/>
    <x v="0"/>
    <x v="0"/>
    <x v="6"/>
    <x v="3"/>
    <x v="5"/>
    <x v="2"/>
  </r>
  <r>
    <x v="964"/>
    <x v="0"/>
    <x v="1"/>
    <n v="12"/>
    <n v="24"/>
    <x v="38"/>
    <d v="2025-02-12T00:00:00"/>
    <s v="F"/>
    <x v="0"/>
    <x v="0"/>
    <x v="0"/>
    <x v="6"/>
    <x v="5"/>
    <x v="5"/>
    <x v="2"/>
  </r>
  <r>
    <x v="965"/>
    <x v="0"/>
    <x v="12"/>
    <n v="13.6"/>
    <n v="54.4"/>
    <x v="38"/>
    <d v="2025-02-11T00:00:00"/>
    <s v="M"/>
    <x v="2"/>
    <x v="0"/>
    <x v="0"/>
    <x v="6"/>
    <x v="2"/>
    <x v="5"/>
    <x v="1"/>
  </r>
  <r>
    <x v="966"/>
    <x v="0"/>
    <x v="0"/>
    <n v="17.899999999999999"/>
    <n v="17.899999999999999"/>
    <x v="38"/>
    <d v="2025-02-09T00:00:00"/>
    <s v="M"/>
    <x v="3"/>
    <x v="0"/>
    <x v="0"/>
    <x v="6"/>
    <x v="3"/>
    <x v="5"/>
    <x v="1"/>
  </r>
  <r>
    <x v="967"/>
    <x v="9"/>
    <x v="1"/>
    <n v="38.6"/>
    <n v="77.2"/>
    <x v="38"/>
    <d v="2025-02-12T00:00:00"/>
    <s v="F"/>
    <x v="4"/>
    <x v="0"/>
    <x v="0"/>
    <x v="7"/>
    <x v="5"/>
    <x v="5"/>
    <x v="2"/>
  </r>
  <r>
    <x v="968"/>
    <x v="5"/>
    <x v="9"/>
    <n v="32.700000000000003"/>
    <n v="163.5"/>
    <x v="38"/>
    <d v="2025-02-09T00:00:00"/>
    <s v="M"/>
    <x v="2"/>
    <x v="2"/>
    <x v="0"/>
    <x v="8"/>
    <x v="3"/>
    <x v="5"/>
    <x v="1"/>
  </r>
  <r>
    <x v="969"/>
    <x v="3"/>
    <x v="1"/>
    <n v="111.4"/>
    <n v="222.8"/>
    <x v="38"/>
    <d v="2025-02-09T00:00:00"/>
    <s v="F"/>
    <x v="1"/>
    <x v="0"/>
    <x v="0"/>
    <x v="8"/>
    <x v="3"/>
    <x v="5"/>
    <x v="2"/>
  </r>
  <r>
    <x v="970"/>
    <x v="2"/>
    <x v="13"/>
    <n v="80.3"/>
    <n v="481.79999999999995"/>
    <x v="38"/>
    <d v="2025-02-10T00:00:00"/>
    <s v="F"/>
    <x v="1"/>
    <x v="0"/>
    <x v="0"/>
    <x v="8"/>
    <x v="1"/>
    <x v="5"/>
    <x v="2"/>
  </r>
  <r>
    <x v="971"/>
    <x v="6"/>
    <x v="1"/>
    <n v="58.9"/>
    <n v="117.8"/>
    <x v="38"/>
    <d v="2025-02-09T00:00:00"/>
    <s v="M"/>
    <x v="1"/>
    <x v="0"/>
    <x v="0"/>
    <x v="8"/>
    <x v="3"/>
    <x v="5"/>
    <x v="1"/>
  </r>
  <r>
    <x v="972"/>
    <x v="6"/>
    <x v="2"/>
    <n v="51.9"/>
    <n v="155.69999999999999"/>
    <x v="38"/>
    <d v="2025-02-10T00:00:00"/>
    <s v="F"/>
    <x v="1"/>
    <x v="4"/>
    <x v="0"/>
    <x v="8"/>
    <x v="1"/>
    <x v="5"/>
    <x v="2"/>
  </r>
  <r>
    <x v="973"/>
    <x v="2"/>
    <x v="2"/>
    <n v="50.3"/>
    <n v="150.89999999999998"/>
    <x v="38"/>
    <d v="2025-02-09T00:00:00"/>
    <s v="M"/>
    <x v="2"/>
    <x v="0"/>
    <x v="0"/>
    <x v="17"/>
    <x v="3"/>
    <x v="5"/>
    <x v="1"/>
  </r>
  <r>
    <x v="974"/>
    <x v="11"/>
    <x v="13"/>
    <n v="45"/>
    <n v="270"/>
    <x v="38"/>
    <d v="2025-02-14T00:00:00"/>
    <s v="F"/>
    <x v="3"/>
    <x v="0"/>
    <x v="0"/>
    <x v="9"/>
    <x v="4"/>
    <x v="5"/>
    <x v="2"/>
  </r>
  <r>
    <x v="975"/>
    <x v="10"/>
    <x v="13"/>
    <n v="44.7"/>
    <n v="268.20000000000005"/>
    <x v="38"/>
    <d v="2025-02-10T00:00:00"/>
    <s v="F"/>
    <x v="2"/>
    <x v="0"/>
    <x v="0"/>
    <x v="11"/>
    <x v="1"/>
    <x v="5"/>
    <x v="2"/>
  </r>
  <r>
    <x v="976"/>
    <x v="18"/>
    <x v="20"/>
    <n v="33"/>
    <n v="495"/>
    <x v="38"/>
    <d v="2025-02-09T00:00:00"/>
    <s v="F"/>
    <x v="2"/>
    <x v="0"/>
    <x v="0"/>
    <x v="11"/>
    <x v="3"/>
    <x v="5"/>
    <x v="2"/>
  </r>
  <r>
    <x v="977"/>
    <x v="1"/>
    <x v="9"/>
    <n v="44.9"/>
    <n v="224.5"/>
    <x v="38"/>
    <d v="2025-02-11T00:00:00"/>
    <s v="F"/>
    <x v="2"/>
    <x v="2"/>
    <x v="0"/>
    <x v="18"/>
    <x v="2"/>
    <x v="5"/>
    <x v="2"/>
  </r>
  <r>
    <x v="978"/>
    <x v="10"/>
    <x v="1"/>
    <n v="34.6"/>
    <n v="69.2"/>
    <x v="38"/>
    <d v="2025-02-12T00:00:00"/>
    <s v="F"/>
    <x v="0"/>
    <x v="1"/>
    <x v="0"/>
    <x v="19"/>
    <x v="5"/>
    <x v="5"/>
    <x v="2"/>
  </r>
  <r>
    <x v="979"/>
    <x v="7"/>
    <x v="3"/>
    <n v="47.1"/>
    <n v="329.7"/>
    <x v="38"/>
    <d v="2025-02-13T00:00:00"/>
    <s v="F"/>
    <x v="0"/>
    <x v="0"/>
    <x v="0"/>
    <x v="13"/>
    <x v="0"/>
    <x v="5"/>
    <x v="2"/>
  </r>
  <r>
    <x v="980"/>
    <x v="4"/>
    <x v="9"/>
    <n v="26.1"/>
    <n v="130.5"/>
    <x v="38"/>
    <d v="2025-02-13T00:00:00"/>
    <s v="M"/>
    <x v="0"/>
    <x v="2"/>
    <x v="0"/>
    <x v="21"/>
    <x v="0"/>
    <x v="5"/>
    <x v="1"/>
  </r>
  <r>
    <x v="981"/>
    <x v="12"/>
    <x v="9"/>
    <n v="66.8"/>
    <n v="334"/>
    <x v="38"/>
    <d v="2025-02-11T00:00:00"/>
    <s v="F"/>
    <x v="0"/>
    <x v="0"/>
    <x v="0"/>
    <x v="21"/>
    <x v="2"/>
    <x v="5"/>
    <x v="2"/>
  </r>
  <r>
    <x v="982"/>
    <x v="2"/>
    <x v="1"/>
    <n v="167.9"/>
    <n v="335.8"/>
    <x v="38"/>
    <d v="2025-02-09T00:00:00"/>
    <s v="F"/>
    <x v="3"/>
    <x v="2"/>
    <x v="0"/>
    <x v="21"/>
    <x v="3"/>
    <x v="5"/>
    <x v="2"/>
  </r>
  <r>
    <x v="983"/>
    <x v="10"/>
    <x v="11"/>
    <n v="34.6"/>
    <n v="311.40000000000003"/>
    <x v="38"/>
    <d v="2025-02-09T00:00:00"/>
    <s v="F"/>
    <x v="2"/>
    <x v="1"/>
    <x v="0"/>
    <x v="21"/>
    <x v="3"/>
    <x v="5"/>
    <x v="2"/>
  </r>
  <r>
    <x v="984"/>
    <x v="8"/>
    <x v="2"/>
    <n v="35.1"/>
    <n v="105.30000000000001"/>
    <x v="39"/>
    <d v="2025-02-13T00:00:00"/>
    <s v="M"/>
    <x v="4"/>
    <x v="2"/>
    <x v="0"/>
    <x v="1"/>
    <x v="5"/>
    <x v="6"/>
    <x v="1"/>
  </r>
  <r>
    <x v="985"/>
    <x v="6"/>
    <x v="12"/>
    <n v="104.5"/>
    <n v="418"/>
    <x v="39"/>
    <d v="2025-02-10T00:00:00"/>
    <s v="M"/>
    <x v="1"/>
    <x v="1"/>
    <x v="0"/>
    <x v="1"/>
    <x v="3"/>
    <x v="6"/>
    <x v="1"/>
  </r>
  <r>
    <x v="986"/>
    <x v="8"/>
    <x v="0"/>
    <n v="37.9"/>
    <n v="37.9"/>
    <x v="39"/>
    <d v="2025-02-11T00:00:00"/>
    <s v=""/>
    <x v="1"/>
    <x v="2"/>
    <x v="0"/>
    <x v="2"/>
    <x v="1"/>
    <x v="6"/>
    <x v="0"/>
  </r>
  <r>
    <x v="987"/>
    <x v="4"/>
    <x v="2"/>
    <n v="25.5"/>
    <n v="76.5"/>
    <x v="39"/>
    <d v="2025-02-12T00:00:00"/>
    <s v="M"/>
    <x v="3"/>
    <x v="0"/>
    <x v="0"/>
    <x v="2"/>
    <x v="2"/>
    <x v="6"/>
    <x v="1"/>
  </r>
  <r>
    <x v="988"/>
    <x v="0"/>
    <x v="2"/>
    <n v="32"/>
    <n v="96"/>
    <x v="39"/>
    <d v="2025-02-13T00:00:00"/>
    <s v="F"/>
    <x v="1"/>
    <x v="0"/>
    <x v="0"/>
    <x v="22"/>
    <x v="5"/>
    <x v="6"/>
    <x v="2"/>
  </r>
  <r>
    <x v="989"/>
    <x v="1"/>
    <x v="0"/>
    <n v="47.1"/>
    <n v="47.1"/>
    <x v="39"/>
    <d v="2025-02-10T00:00:00"/>
    <s v="F"/>
    <x v="0"/>
    <x v="0"/>
    <x v="0"/>
    <x v="34"/>
    <x v="3"/>
    <x v="6"/>
    <x v="2"/>
  </r>
  <r>
    <x v="990"/>
    <x v="6"/>
    <x v="1"/>
    <n v="50.6"/>
    <n v="101.2"/>
    <x v="39"/>
    <d v="2025-02-15T00:00:00"/>
    <s v=""/>
    <x v="0"/>
    <x v="0"/>
    <x v="0"/>
    <x v="3"/>
    <x v="4"/>
    <x v="6"/>
    <x v="0"/>
  </r>
  <r>
    <x v="991"/>
    <x v="6"/>
    <x v="9"/>
    <n v="81.7"/>
    <n v="408.5"/>
    <x v="39"/>
    <d v="2025-02-10T00:00:00"/>
    <s v="F"/>
    <x v="1"/>
    <x v="2"/>
    <x v="0"/>
    <x v="3"/>
    <x v="3"/>
    <x v="6"/>
    <x v="2"/>
  </r>
  <r>
    <x v="992"/>
    <x v="5"/>
    <x v="1"/>
    <n v="50.7"/>
    <n v="101.4"/>
    <x v="39"/>
    <d v="2025-02-10T00:00:00"/>
    <s v="O"/>
    <x v="2"/>
    <x v="2"/>
    <x v="0"/>
    <x v="3"/>
    <x v="3"/>
    <x v="6"/>
    <x v="3"/>
  </r>
  <r>
    <x v="993"/>
    <x v="2"/>
    <x v="10"/>
    <n v="67.3"/>
    <n v="1278.7"/>
    <x v="39"/>
    <d v="2025-02-13T00:00:00"/>
    <s v="F"/>
    <x v="2"/>
    <x v="0"/>
    <x v="0"/>
    <x v="3"/>
    <x v="5"/>
    <x v="6"/>
    <x v="2"/>
  </r>
  <r>
    <x v="994"/>
    <x v="2"/>
    <x v="12"/>
    <n v="64.8"/>
    <n v="259.2"/>
    <x v="39"/>
    <d v="2025-02-12T00:00:00"/>
    <s v="F"/>
    <x v="3"/>
    <x v="0"/>
    <x v="0"/>
    <x v="3"/>
    <x v="2"/>
    <x v="6"/>
    <x v="2"/>
  </r>
  <r>
    <x v="995"/>
    <x v="5"/>
    <x v="32"/>
    <n v="61.3"/>
    <n v="1348.6"/>
    <x v="39"/>
    <d v="2025-02-10T00:00:00"/>
    <s v="F"/>
    <x v="0"/>
    <x v="2"/>
    <x v="0"/>
    <x v="3"/>
    <x v="3"/>
    <x v="6"/>
    <x v="2"/>
  </r>
  <r>
    <x v="996"/>
    <x v="14"/>
    <x v="0"/>
    <n v="32.9"/>
    <n v="32.9"/>
    <x v="39"/>
    <d v="2025-02-12T00:00:00"/>
    <s v="F"/>
    <x v="4"/>
    <x v="0"/>
    <x v="0"/>
    <x v="3"/>
    <x v="2"/>
    <x v="6"/>
    <x v="2"/>
  </r>
  <r>
    <x v="997"/>
    <x v="6"/>
    <x v="1"/>
    <n v="100.8"/>
    <n v="201.6"/>
    <x v="39"/>
    <d v="2025-02-12T00:00:00"/>
    <s v="F"/>
    <x v="0"/>
    <x v="0"/>
    <x v="0"/>
    <x v="3"/>
    <x v="2"/>
    <x v="6"/>
    <x v="2"/>
  </r>
  <r>
    <x v="998"/>
    <x v="8"/>
    <x v="12"/>
    <n v="25.1"/>
    <n v="100.4"/>
    <x v="39"/>
    <d v="2025-02-11T00:00:00"/>
    <s v="F"/>
    <x v="1"/>
    <x v="0"/>
    <x v="0"/>
    <x v="3"/>
    <x v="1"/>
    <x v="6"/>
    <x v="2"/>
  </r>
  <r>
    <x v="999"/>
    <x v="17"/>
    <x v="0"/>
    <n v="48.5"/>
    <n v="48.5"/>
    <x v="39"/>
    <d v="2025-02-10T00:00:00"/>
    <s v="F"/>
    <x v="0"/>
    <x v="1"/>
    <x v="0"/>
    <x v="3"/>
    <x v="3"/>
    <x v="6"/>
    <x v="2"/>
  </r>
  <r>
    <x v="1000"/>
    <x v="7"/>
    <x v="1"/>
    <n v="33.6"/>
    <n v="67.2"/>
    <x v="39"/>
    <d v="2025-02-13T00:00:00"/>
    <s v="F"/>
    <x v="2"/>
    <x v="2"/>
    <x v="0"/>
    <x v="3"/>
    <x v="5"/>
    <x v="6"/>
    <x v="2"/>
  </r>
  <r>
    <x v="1001"/>
    <x v="8"/>
    <x v="0"/>
    <n v="39.299999999999997"/>
    <n v="39.299999999999997"/>
    <x v="39"/>
    <d v="2025-02-20T00:00:00"/>
    <s v="F"/>
    <x v="1"/>
    <x v="1"/>
    <x v="0"/>
    <x v="49"/>
    <x v="11"/>
    <x v="6"/>
    <x v="2"/>
  </r>
  <r>
    <x v="1002"/>
    <x v="4"/>
    <x v="7"/>
    <n v="48.8"/>
    <n v="488"/>
    <x v="39"/>
    <d v="2025-02-11T00:00:00"/>
    <s v="F"/>
    <x v="3"/>
    <x v="1"/>
    <x v="0"/>
    <x v="25"/>
    <x v="1"/>
    <x v="6"/>
    <x v="2"/>
  </r>
  <r>
    <x v="1003"/>
    <x v="6"/>
    <x v="8"/>
    <n v="72.8"/>
    <n v="582.4"/>
    <x v="39"/>
    <d v="2025-02-11T00:00:00"/>
    <s v="M"/>
    <x v="1"/>
    <x v="2"/>
    <x v="0"/>
    <x v="5"/>
    <x v="1"/>
    <x v="6"/>
    <x v="1"/>
  </r>
  <r>
    <x v="1004"/>
    <x v="10"/>
    <x v="8"/>
    <n v="46.2"/>
    <n v="369.6"/>
    <x v="39"/>
    <d v="2025-02-10T00:00:00"/>
    <s v="M"/>
    <x v="3"/>
    <x v="4"/>
    <x v="0"/>
    <x v="5"/>
    <x v="3"/>
    <x v="6"/>
    <x v="1"/>
  </r>
  <r>
    <x v="1005"/>
    <x v="4"/>
    <x v="1"/>
    <n v="20.7"/>
    <n v="41.4"/>
    <x v="39"/>
    <d v="2025-02-10T00:00:00"/>
    <s v="F"/>
    <x v="2"/>
    <x v="3"/>
    <x v="0"/>
    <x v="6"/>
    <x v="3"/>
    <x v="6"/>
    <x v="2"/>
  </r>
  <r>
    <x v="1006"/>
    <x v="0"/>
    <x v="0"/>
    <n v="35.700000000000003"/>
    <n v="35.700000000000003"/>
    <x v="39"/>
    <d v="2025-02-11T00:00:00"/>
    <s v="F"/>
    <x v="3"/>
    <x v="0"/>
    <x v="0"/>
    <x v="6"/>
    <x v="1"/>
    <x v="6"/>
    <x v="2"/>
  </r>
  <r>
    <x v="1007"/>
    <x v="2"/>
    <x v="27"/>
    <n v="166.2"/>
    <n v="2659.2"/>
    <x v="39"/>
    <d v="2025-02-11T00:00:00"/>
    <s v=""/>
    <x v="2"/>
    <x v="0"/>
    <x v="0"/>
    <x v="7"/>
    <x v="1"/>
    <x v="6"/>
    <x v="0"/>
  </r>
  <r>
    <x v="1008"/>
    <x v="6"/>
    <x v="12"/>
    <n v="85.8"/>
    <n v="343.2"/>
    <x v="39"/>
    <d v="2025-02-10T00:00:00"/>
    <s v="F"/>
    <x v="1"/>
    <x v="1"/>
    <x v="0"/>
    <x v="7"/>
    <x v="3"/>
    <x v="6"/>
    <x v="2"/>
  </r>
  <r>
    <x v="1009"/>
    <x v="8"/>
    <x v="2"/>
    <n v="26"/>
    <n v="78"/>
    <x v="39"/>
    <d v="2025-02-11T00:00:00"/>
    <s v="O"/>
    <x v="1"/>
    <x v="0"/>
    <x v="0"/>
    <x v="7"/>
    <x v="1"/>
    <x v="6"/>
    <x v="3"/>
  </r>
  <r>
    <x v="1010"/>
    <x v="2"/>
    <x v="15"/>
    <n v="116.6"/>
    <n v="1515.8"/>
    <x v="39"/>
    <d v="2025-02-12T00:00:00"/>
    <s v="F"/>
    <x v="0"/>
    <x v="0"/>
    <x v="0"/>
    <x v="8"/>
    <x v="2"/>
    <x v="6"/>
    <x v="2"/>
  </r>
  <r>
    <x v="1011"/>
    <x v="9"/>
    <x v="3"/>
    <n v="53.9"/>
    <n v="377.3"/>
    <x v="39"/>
    <d v="2025-02-12T00:00:00"/>
    <s v="O"/>
    <x v="0"/>
    <x v="2"/>
    <x v="0"/>
    <x v="8"/>
    <x v="2"/>
    <x v="6"/>
    <x v="3"/>
  </r>
  <r>
    <x v="1012"/>
    <x v="12"/>
    <x v="9"/>
    <n v="72.3"/>
    <n v="361.5"/>
    <x v="39"/>
    <d v="2025-02-11T00:00:00"/>
    <s v=""/>
    <x v="2"/>
    <x v="2"/>
    <x v="0"/>
    <x v="8"/>
    <x v="1"/>
    <x v="6"/>
    <x v="0"/>
  </r>
  <r>
    <x v="1013"/>
    <x v="5"/>
    <x v="1"/>
    <n v="31.4"/>
    <n v="62.8"/>
    <x v="39"/>
    <d v="2025-02-11T00:00:00"/>
    <s v="F"/>
    <x v="0"/>
    <x v="0"/>
    <x v="0"/>
    <x v="8"/>
    <x v="1"/>
    <x v="6"/>
    <x v="2"/>
  </r>
  <r>
    <x v="1014"/>
    <x v="13"/>
    <x v="1"/>
    <n v="53.1"/>
    <n v="106.2"/>
    <x v="39"/>
    <d v="2025-02-12T00:00:00"/>
    <s v="M"/>
    <x v="1"/>
    <x v="0"/>
    <x v="0"/>
    <x v="8"/>
    <x v="2"/>
    <x v="6"/>
    <x v="1"/>
  </r>
  <r>
    <x v="1015"/>
    <x v="2"/>
    <x v="12"/>
    <n v="56.2"/>
    <n v="224.8"/>
    <x v="39"/>
    <d v="2025-02-10T00:00:00"/>
    <s v="F"/>
    <x v="0"/>
    <x v="0"/>
    <x v="0"/>
    <x v="8"/>
    <x v="3"/>
    <x v="6"/>
    <x v="2"/>
  </r>
  <r>
    <x v="1016"/>
    <x v="1"/>
    <x v="7"/>
    <n v="77.3"/>
    <n v="773"/>
    <x v="39"/>
    <d v="2025-02-10T00:00:00"/>
    <s v="F"/>
    <x v="2"/>
    <x v="0"/>
    <x v="0"/>
    <x v="11"/>
    <x v="3"/>
    <x v="6"/>
    <x v="2"/>
  </r>
  <r>
    <x v="1017"/>
    <x v="6"/>
    <x v="15"/>
    <n v="57.8"/>
    <n v="751.4"/>
    <x v="39"/>
    <d v="2025-02-10T00:00:00"/>
    <s v=""/>
    <x v="0"/>
    <x v="0"/>
    <x v="0"/>
    <x v="53"/>
    <x v="3"/>
    <x v="6"/>
    <x v="0"/>
  </r>
  <r>
    <x v="1018"/>
    <x v="12"/>
    <x v="20"/>
    <n v="42.1"/>
    <n v="631.5"/>
    <x v="39"/>
    <d v="2025-02-11T00:00:00"/>
    <s v="F"/>
    <x v="1"/>
    <x v="1"/>
    <x v="0"/>
    <x v="53"/>
    <x v="1"/>
    <x v="6"/>
    <x v="2"/>
  </r>
  <r>
    <x v="1019"/>
    <x v="8"/>
    <x v="11"/>
    <n v="22.8"/>
    <n v="205.20000000000002"/>
    <x v="39"/>
    <d v="2025-02-13T00:00:00"/>
    <s v="M"/>
    <x v="2"/>
    <x v="2"/>
    <x v="0"/>
    <x v="19"/>
    <x v="5"/>
    <x v="6"/>
    <x v="1"/>
  </r>
  <r>
    <x v="1020"/>
    <x v="2"/>
    <x v="2"/>
    <n v="171.1"/>
    <n v="513.29999999999995"/>
    <x v="40"/>
    <d v="2025-02-17T00:00:00"/>
    <s v="F"/>
    <x v="2"/>
    <x v="1"/>
    <x v="0"/>
    <x v="19"/>
    <x v="6"/>
    <x v="6"/>
    <x v="2"/>
  </r>
  <r>
    <x v="1021"/>
    <x v="8"/>
    <x v="0"/>
    <n v="28"/>
    <n v="28"/>
    <x v="40"/>
    <d v="2025-02-12T00:00:00"/>
    <s v="M"/>
    <x v="2"/>
    <x v="2"/>
    <x v="0"/>
    <x v="21"/>
    <x v="1"/>
    <x v="6"/>
    <x v="1"/>
  </r>
  <r>
    <x v="1022"/>
    <x v="6"/>
    <x v="3"/>
    <n v="50.2"/>
    <n v="351.40000000000003"/>
    <x v="40"/>
    <d v="2025-02-12T00:00:00"/>
    <s v="M"/>
    <x v="2"/>
    <x v="0"/>
    <x v="0"/>
    <x v="21"/>
    <x v="1"/>
    <x v="6"/>
    <x v="1"/>
  </r>
  <r>
    <x v="1023"/>
    <x v="6"/>
    <x v="1"/>
    <n v="56"/>
    <n v="112"/>
    <x v="40"/>
    <d v="2025-02-10T00:00:00"/>
    <s v="M"/>
    <x v="0"/>
    <x v="2"/>
    <x v="0"/>
    <x v="22"/>
    <x v="7"/>
    <x v="6"/>
    <x v="1"/>
  </r>
  <r>
    <x v="1024"/>
    <x v="1"/>
    <x v="1"/>
    <n v="38.299999999999997"/>
    <n v="76.599999999999994"/>
    <x v="40"/>
    <d v="2025-02-11T00:00:00"/>
    <s v="F"/>
    <x v="1"/>
    <x v="0"/>
    <x v="0"/>
    <x v="3"/>
    <x v="3"/>
    <x v="6"/>
    <x v="2"/>
  </r>
  <r>
    <x v="1025"/>
    <x v="0"/>
    <x v="9"/>
    <n v="22.3"/>
    <n v="111.5"/>
    <x v="40"/>
    <d v="2025-02-14T00:00:00"/>
    <s v="F"/>
    <x v="2"/>
    <x v="1"/>
    <x v="0"/>
    <x v="3"/>
    <x v="5"/>
    <x v="6"/>
    <x v="2"/>
  </r>
  <r>
    <x v="1026"/>
    <x v="0"/>
    <x v="2"/>
    <n v="22.3"/>
    <n v="66.900000000000006"/>
    <x v="40"/>
    <d v="2025-02-13T00:00:00"/>
    <s v="F"/>
    <x v="2"/>
    <x v="0"/>
    <x v="0"/>
    <x v="3"/>
    <x v="2"/>
    <x v="6"/>
    <x v="2"/>
  </r>
  <r>
    <x v="1027"/>
    <x v="1"/>
    <x v="0"/>
    <n v="32.9"/>
    <n v="32.9"/>
    <x v="40"/>
    <d v="2025-02-15T00:00:00"/>
    <s v="F"/>
    <x v="0"/>
    <x v="0"/>
    <x v="0"/>
    <x v="3"/>
    <x v="0"/>
    <x v="6"/>
    <x v="2"/>
  </r>
  <r>
    <x v="1028"/>
    <x v="10"/>
    <x v="2"/>
    <n v="31.9"/>
    <n v="95.699999999999989"/>
    <x v="40"/>
    <d v="2025-02-15T00:00:00"/>
    <s v="F"/>
    <x v="0"/>
    <x v="0"/>
    <x v="0"/>
    <x v="3"/>
    <x v="0"/>
    <x v="6"/>
    <x v="2"/>
  </r>
  <r>
    <x v="1029"/>
    <x v="6"/>
    <x v="1"/>
    <n v="94"/>
    <n v="188"/>
    <x v="40"/>
    <d v="2025-02-11T00:00:00"/>
    <s v="M"/>
    <x v="2"/>
    <x v="2"/>
    <x v="0"/>
    <x v="3"/>
    <x v="3"/>
    <x v="6"/>
    <x v="1"/>
  </r>
  <r>
    <x v="1030"/>
    <x v="10"/>
    <x v="1"/>
    <n v="30.7"/>
    <n v="61.4"/>
    <x v="40"/>
    <d v="2025-02-11T00:00:00"/>
    <s v="F"/>
    <x v="0"/>
    <x v="1"/>
    <x v="0"/>
    <x v="3"/>
    <x v="3"/>
    <x v="6"/>
    <x v="2"/>
  </r>
  <r>
    <x v="1031"/>
    <x v="5"/>
    <x v="9"/>
    <n v="90.5"/>
    <n v="452.5"/>
    <x v="40"/>
    <d v="2025-02-17T00:00:00"/>
    <s v="M"/>
    <x v="0"/>
    <x v="2"/>
    <x v="0"/>
    <x v="3"/>
    <x v="6"/>
    <x v="6"/>
    <x v="1"/>
  </r>
  <r>
    <x v="1032"/>
    <x v="8"/>
    <x v="9"/>
    <n v="25.3"/>
    <n v="126.5"/>
    <x v="40"/>
    <d v="2025-02-14T00:00:00"/>
    <s v="F"/>
    <x v="0"/>
    <x v="2"/>
    <x v="0"/>
    <x v="3"/>
    <x v="5"/>
    <x v="6"/>
    <x v="2"/>
  </r>
  <r>
    <x v="1033"/>
    <x v="6"/>
    <x v="2"/>
    <n v="58.1"/>
    <n v="174.3"/>
    <x v="40"/>
    <d v="2025-02-14T00:00:00"/>
    <s v=""/>
    <x v="0"/>
    <x v="2"/>
    <x v="0"/>
    <x v="3"/>
    <x v="5"/>
    <x v="6"/>
    <x v="0"/>
  </r>
  <r>
    <x v="1034"/>
    <x v="2"/>
    <x v="2"/>
    <n v="74.900000000000006"/>
    <n v="224.70000000000002"/>
    <x v="40"/>
    <d v="2025-02-11T00:00:00"/>
    <s v="F"/>
    <x v="4"/>
    <x v="0"/>
    <x v="0"/>
    <x v="3"/>
    <x v="3"/>
    <x v="6"/>
    <x v="2"/>
  </r>
  <r>
    <x v="1035"/>
    <x v="4"/>
    <x v="1"/>
    <n v="32.5"/>
    <n v="65"/>
    <x v="40"/>
    <d v="2025-02-11T00:00:00"/>
    <s v="M"/>
    <x v="2"/>
    <x v="2"/>
    <x v="0"/>
    <x v="43"/>
    <x v="3"/>
    <x v="6"/>
    <x v="1"/>
  </r>
  <r>
    <x v="1036"/>
    <x v="4"/>
    <x v="9"/>
    <n v="62"/>
    <n v="310"/>
    <x v="40"/>
    <d v="2025-02-11T00:00:00"/>
    <s v="M"/>
    <x v="4"/>
    <x v="2"/>
    <x v="0"/>
    <x v="25"/>
    <x v="3"/>
    <x v="6"/>
    <x v="1"/>
  </r>
  <r>
    <x v="1037"/>
    <x v="13"/>
    <x v="13"/>
    <n v="28.9"/>
    <n v="173.39999999999998"/>
    <x v="40"/>
    <d v="2025-02-13T00:00:00"/>
    <s v="F"/>
    <x v="0"/>
    <x v="1"/>
    <x v="0"/>
    <x v="6"/>
    <x v="2"/>
    <x v="6"/>
    <x v="2"/>
  </r>
  <r>
    <x v="1038"/>
    <x v="6"/>
    <x v="8"/>
    <n v="42.8"/>
    <n v="342.4"/>
    <x v="40"/>
    <d v="2025-02-12T00:00:00"/>
    <s v="F"/>
    <x v="0"/>
    <x v="2"/>
    <x v="0"/>
    <x v="6"/>
    <x v="1"/>
    <x v="6"/>
    <x v="2"/>
  </r>
  <r>
    <x v="1039"/>
    <x v="8"/>
    <x v="8"/>
    <n v="39.4"/>
    <n v="315.2"/>
    <x v="40"/>
    <d v="2025-02-12T00:00:00"/>
    <s v="M"/>
    <x v="0"/>
    <x v="0"/>
    <x v="0"/>
    <x v="36"/>
    <x v="1"/>
    <x v="6"/>
    <x v="1"/>
  </r>
  <r>
    <x v="1040"/>
    <x v="18"/>
    <x v="2"/>
    <n v="66.400000000000006"/>
    <n v="199.20000000000002"/>
    <x v="40"/>
    <d v="2025-02-11T00:00:00"/>
    <s v=""/>
    <x v="2"/>
    <x v="1"/>
    <x v="0"/>
    <x v="7"/>
    <x v="3"/>
    <x v="6"/>
    <x v="0"/>
  </r>
  <r>
    <x v="1041"/>
    <x v="17"/>
    <x v="12"/>
    <n v="35.9"/>
    <n v="143.6"/>
    <x v="40"/>
    <d v="2025-02-17T00:00:00"/>
    <s v="F"/>
    <x v="1"/>
    <x v="0"/>
    <x v="0"/>
    <x v="7"/>
    <x v="6"/>
    <x v="6"/>
    <x v="2"/>
  </r>
  <r>
    <x v="1042"/>
    <x v="0"/>
    <x v="12"/>
    <n v="26.9"/>
    <n v="107.6"/>
    <x v="40"/>
    <d v="2025-02-11T00:00:00"/>
    <s v="M"/>
    <x v="1"/>
    <x v="0"/>
    <x v="0"/>
    <x v="7"/>
    <x v="3"/>
    <x v="6"/>
    <x v="1"/>
  </r>
  <r>
    <x v="1043"/>
    <x v="2"/>
    <x v="0"/>
    <n v="55.1"/>
    <n v="55.1"/>
    <x v="40"/>
    <d v="2025-02-11T00:00:00"/>
    <s v="F"/>
    <x v="0"/>
    <x v="0"/>
    <x v="0"/>
    <x v="7"/>
    <x v="3"/>
    <x v="6"/>
    <x v="2"/>
  </r>
  <r>
    <x v="1044"/>
    <x v="4"/>
    <x v="1"/>
    <n v="23.9"/>
    <n v="47.8"/>
    <x v="40"/>
    <d v="2025-02-11T00:00:00"/>
    <s v="M"/>
    <x v="0"/>
    <x v="2"/>
    <x v="0"/>
    <x v="8"/>
    <x v="3"/>
    <x v="6"/>
    <x v="1"/>
  </r>
  <r>
    <x v="1045"/>
    <x v="9"/>
    <x v="15"/>
    <n v="21.1"/>
    <n v="274.3"/>
    <x v="40"/>
    <d v="2025-02-18T00:00:00"/>
    <s v="F"/>
    <x v="0"/>
    <x v="1"/>
    <x v="0"/>
    <x v="8"/>
    <x v="9"/>
    <x v="6"/>
    <x v="2"/>
  </r>
  <r>
    <x v="1046"/>
    <x v="8"/>
    <x v="9"/>
    <n v="33.799999999999997"/>
    <n v="169"/>
    <x v="40"/>
    <d v="2025-02-12T00:00:00"/>
    <s v="F"/>
    <x v="0"/>
    <x v="0"/>
    <x v="0"/>
    <x v="8"/>
    <x v="1"/>
    <x v="6"/>
    <x v="2"/>
  </r>
  <r>
    <x v="1047"/>
    <x v="2"/>
    <x v="12"/>
    <n v="56.1"/>
    <n v="224.4"/>
    <x v="40"/>
    <d v="2025-02-10T00:00:00"/>
    <s v="F"/>
    <x v="3"/>
    <x v="2"/>
    <x v="0"/>
    <x v="9"/>
    <x v="7"/>
    <x v="6"/>
    <x v="2"/>
  </r>
  <r>
    <x v="1048"/>
    <x v="3"/>
    <x v="0"/>
    <n v="58.5"/>
    <n v="58.5"/>
    <x v="41"/>
    <d v="2025-02-15T00:00:00"/>
    <s v="F"/>
    <x v="1"/>
    <x v="2"/>
    <x v="0"/>
    <x v="9"/>
    <x v="5"/>
    <x v="6"/>
    <x v="2"/>
  </r>
  <r>
    <x v="1049"/>
    <x v="6"/>
    <x v="0"/>
    <n v="84.2"/>
    <n v="84.2"/>
    <x v="41"/>
    <d v="2025-02-13T00:00:00"/>
    <s v="M"/>
    <x v="3"/>
    <x v="0"/>
    <x v="0"/>
    <x v="11"/>
    <x v="1"/>
    <x v="6"/>
    <x v="1"/>
  </r>
  <r>
    <x v="1050"/>
    <x v="11"/>
    <x v="12"/>
    <n v="52"/>
    <n v="208"/>
    <x v="41"/>
    <d v="2025-02-14T00:00:00"/>
    <s v="M"/>
    <x v="0"/>
    <x v="0"/>
    <x v="0"/>
    <x v="11"/>
    <x v="2"/>
    <x v="6"/>
    <x v="1"/>
  </r>
  <r>
    <x v="1051"/>
    <x v="4"/>
    <x v="9"/>
    <n v="31.5"/>
    <n v="157.5"/>
    <x v="41"/>
    <d v="2025-02-12T00:00:00"/>
    <s v="F"/>
    <x v="0"/>
    <x v="2"/>
    <x v="0"/>
    <x v="11"/>
    <x v="3"/>
    <x v="6"/>
    <x v="2"/>
  </r>
  <r>
    <x v="1052"/>
    <x v="16"/>
    <x v="2"/>
    <n v="46.2"/>
    <n v="138.60000000000002"/>
    <x v="41"/>
    <d v="2025-02-12T00:00:00"/>
    <s v="M"/>
    <x v="0"/>
    <x v="0"/>
    <x v="0"/>
    <x v="53"/>
    <x v="3"/>
    <x v="6"/>
    <x v="1"/>
  </r>
  <r>
    <x v="1053"/>
    <x v="2"/>
    <x v="13"/>
    <n v="135"/>
    <n v="810"/>
    <x v="41"/>
    <d v="2025-02-12T00:00:00"/>
    <s v="F"/>
    <x v="1"/>
    <x v="2"/>
    <x v="0"/>
    <x v="18"/>
    <x v="3"/>
    <x v="6"/>
    <x v="2"/>
  </r>
  <r>
    <x v="1054"/>
    <x v="12"/>
    <x v="2"/>
    <n v="92.2"/>
    <n v="276.60000000000002"/>
    <x v="41"/>
    <d v="2025-02-15T00:00:00"/>
    <s v="M"/>
    <x v="0"/>
    <x v="0"/>
    <x v="0"/>
    <x v="21"/>
    <x v="5"/>
    <x v="6"/>
    <x v="1"/>
  </r>
  <r>
    <x v="1055"/>
    <x v="8"/>
    <x v="0"/>
    <n v="36.6"/>
    <n v="36.6"/>
    <x v="41"/>
    <d v="2025-02-13T00:00:00"/>
    <s v="M"/>
    <x v="2"/>
    <x v="2"/>
    <x v="0"/>
    <x v="21"/>
    <x v="1"/>
    <x v="6"/>
    <x v="1"/>
  </r>
  <r>
    <x v="1056"/>
    <x v="9"/>
    <x v="1"/>
    <n v="50.6"/>
    <n v="101.2"/>
    <x v="41"/>
    <d v="2025-02-14T00:00:00"/>
    <s v="F"/>
    <x v="0"/>
    <x v="0"/>
    <x v="0"/>
    <x v="2"/>
    <x v="2"/>
    <x v="6"/>
    <x v="2"/>
  </r>
  <r>
    <x v="1057"/>
    <x v="18"/>
    <x v="3"/>
    <n v="56.7"/>
    <n v="396.90000000000003"/>
    <x v="41"/>
    <d v="2025-02-14T00:00:00"/>
    <s v="F"/>
    <x v="0"/>
    <x v="0"/>
    <x v="0"/>
    <x v="2"/>
    <x v="2"/>
    <x v="6"/>
    <x v="2"/>
  </r>
  <r>
    <x v="1058"/>
    <x v="9"/>
    <x v="15"/>
    <n v="22.9"/>
    <n v="297.7"/>
    <x v="41"/>
    <d v="2025-02-12T00:00:00"/>
    <s v="F"/>
    <x v="0"/>
    <x v="1"/>
    <x v="0"/>
    <x v="44"/>
    <x v="3"/>
    <x v="6"/>
    <x v="2"/>
  </r>
  <r>
    <x v="1059"/>
    <x v="15"/>
    <x v="10"/>
    <n v="53.6"/>
    <n v="1018.4"/>
    <x v="41"/>
    <d v="2025-02-12T00:00:00"/>
    <s v="M"/>
    <x v="0"/>
    <x v="0"/>
    <x v="0"/>
    <x v="22"/>
    <x v="3"/>
    <x v="6"/>
    <x v="1"/>
  </r>
  <r>
    <x v="1060"/>
    <x v="18"/>
    <x v="1"/>
    <n v="30.2"/>
    <n v="60.4"/>
    <x v="41"/>
    <d v="2025-02-13T00:00:00"/>
    <s v=""/>
    <x v="2"/>
    <x v="2"/>
    <x v="0"/>
    <x v="3"/>
    <x v="1"/>
    <x v="6"/>
    <x v="0"/>
  </r>
  <r>
    <x v="1061"/>
    <x v="15"/>
    <x v="13"/>
    <n v="83.4"/>
    <n v="500.40000000000003"/>
    <x v="41"/>
    <d v="2025-02-12T00:00:00"/>
    <s v="M"/>
    <x v="1"/>
    <x v="2"/>
    <x v="0"/>
    <x v="3"/>
    <x v="3"/>
    <x v="6"/>
    <x v="1"/>
  </r>
  <r>
    <x v="1062"/>
    <x v="13"/>
    <x v="4"/>
    <n v="16.600000000000001"/>
    <n v="199.20000000000002"/>
    <x v="41"/>
    <d v="2025-02-13T00:00:00"/>
    <s v="M"/>
    <x v="1"/>
    <x v="0"/>
    <x v="0"/>
    <x v="3"/>
    <x v="1"/>
    <x v="6"/>
    <x v="1"/>
  </r>
  <r>
    <x v="1063"/>
    <x v="8"/>
    <x v="14"/>
    <n v="21.9"/>
    <n v="372.29999999999995"/>
    <x v="41"/>
    <d v="2025-02-13T00:00:00"/>
    <s v="F"/>
    <x v="4"/>
    <x v="1"/>
    <x v="0"/>
    <x v="3"/>
    <x v="1"/>
    <x v="6"/>
    <x v="2"/>
  </r>
  <r>
    <x v="1064"/>
    <x v="8"/>
    <x v="31"/>
    <n v="33.799999999999997"/>
    <n v="946.39999999999986"/>
    <x v="41"/>
    <d v="2025-02-13T00:00:00"/>
    <s v="M"/>
    <x v="2"/>
    <x v="4"/>
    <x v="0"/>
    <x v="3"/>
    <x v="1"/>
    <x v="6"/>
    <x v="1"/>
  </r>
  <r>
    <x v="1065"/>
    <x v="18"/>
    <x v="1"/>
    <n v="53.2"/>
    <n v="106.4"/>
    <x v="41"/>
    <d v="2025-02-11T00:00:00"/>
    <s v="M"/>
    <x v="1"/>
    <x v="0"/>
    <x v="0"/>
    <x v="3"/>
    <x v="7"/>
    <x v="6"/>
    <x v="1"/>
  </r>
  <r>
    <x v="1066"/>
    <x v="2"/>
    <x v="1"/>
    <n v="176.7"/>
    <n v="353.4"/>
    <x v="41"/>
    <d v="2025-02-14T00:00:00"/>
    <s v="F"/>
    <x v="2"/>
    <x v="0"/>
    <x v="0"/>
    <x v="3"/>
    <x v="2"/>
    <x v="6"/>
    <x v="2"/>
  </r>
  <r>
    <x v="1067"/>
    <x v="12"/>
    <x v="2"/>
    <n v="54"/>
    <n v="162"/>
    <x v="41"/>
    <d v="2025-02-14T00:00:00"/>
    <s v="M"/>
    <x v="0"/>
    <x v="1"/>
    <x v="0"/>
    <x v="3"/>
    <x v="2"/>
    <x v="6"/>
    <x v="1"/>
  </r>
  <r>
    <x v="1068"/>
    <x v="9"/>
    <x v="1"/>
    <n v="70.099999999999994"/>
    <n v="140.19999999999999"/>
    <x v="41"/>
    <d v="2025-02-19T00:00:00"/>
    <s v="F"/>
    <x v="3"/>
    <x v="2"/>
    <x v="0"/>
    <x v="3"/>
    <x v="9"/>
    <x v="6"/>
    <x v="2"/>
  </r>
  <r>
    <x v="1069"/>
    <x v="8"/>
    <x v="0"/>
    <n v="26.5"/>
    <n v="26.5"/>
    <x v="41"/>
    <d v="2025-02-13T00:00:00"/>
    <s v="F"/>
    <x v="1"/>
    <x v="0"/>
    <x v="0"/>
    <x v="3"/>
    <x v="1"/>
    <x v="6"/>
    <x v="2"/>
  </r>
  <r>
    <x v="1070"/>
    <x v="7"/>
    <x v="9"/>
    <n v="89"/>
    <n v="445"/>
    <x v="41"/>
    <d v="2025-02-13T00:00:00"/>
    <s v="M"/>
    <x v="2"/>
    <x v="4"/>
    <x v="0"/>
    <x v="3"/>
    <x v="1"/>
    <x v="6"/>
    <x v="1"/>
  </r>
  <r>
    <x v="1071"/>
    <x v="1"/>
    <x v="13"/>
    <n v="47"/>
    <n v="282"/>
    <x v="41"/>
    <d v="2025-02-14T00:00:00"/>
    <s v="F"/>
    <x v="3"/>
    <x v="0"/>
    <x v="0"/>
    <x v="24"/>
    <x v="2"/>
    <x v="6"/>
    <x v="2"/>
  </r>
  <r>
    <x v="1072"/>
    <x v="3"/>
    <x v="1"/>
    <n v="55.2"/>
    <n v="110.4"/>
    <x v="41"/>
    <d v="2025-02-14T00:00:00"/>
    <s v="M"/>
    <x v="1"/>
    <x v="1"/>
    <x v="0"/>
    <x v="6"/>
    <x v="2"/>
    <x v="6"/>
    <x v="1"/>
  </r>
  <r>
    <x v="1073"/>
    <x v="8"/>
    <x v="39"/>
    <n v="33.299999999999997"/>
    <n v="1398.6"/>
    <x v="41"/>
    <d v="2025-02-25T00:00:00"/>
    <s v="M"/>
    <x v="1"/>
    <x v="2"/>
    <x v="0"/>
    <x v="6"/>
    <x v="12"/>
    <x v="6"/>
    <x v="1"/>
  </r>
  <r>
    <x v="1074"/>
    <x v="2"/>
    <x v="12"/>
    <n v="110.9"/>
    <n v="443.6"/>
    <x v="42"/>
    <d v="2025-02-12T00:00:00"/>
    <s v="M"/>
    <x v="2"/>
    <x v="4"/>
    <x v="0"/>
    <x v="6"/>
    <x v="7"/>
    <x v="6"/>
    <x v="1"/>
  </r>
  <r>
    <x v="1075"/>
    <x v="2"/>
    <x v="13"/>
    <n v="67.3"/>
    <n v="403.79999999999995"/>
    <x v="42"/>
    <d v="2025-02-13T00:00:00"/>
    <s v="M"/>
    <x v="0"/>
    <x v="0"/>
    <x v="0"/>
    <x v="8"/>
    <x v="3"/>
    <x v="6"/>
    <x v="1"/>
  </r>
  <r>
    <x v="1076"/>
    <x v="6"/>
    <x v="2"/>
    <n v="69.7"/>
    <n v="209.10000000000002"/>
    <x v="42"/>
    <d v="2025-02-13T00:00:00"/>
    <s v="M"/>
    <x v="2"/>
    <x v="1"/>
    <x v="0"/>
    <x v="8"/>
    <x v="3"/>
    <x v="6"/>
    <x v="1"/>
  </r>
  <r>
    <x v="1077"/>
    <x v="5"/>
    <x v="0"/>
    <n v="39.1"/>
    <n v="39.1"/>
    <x v="42"/>
    <d v="2025-02-17T00:00:00"/>
    <s v="M"/>
    <x v="0"/>
    <x v="1"/>
    <x v="0"/>
    <x v="17"/>
    <x v="0"/>
    <x v="6"/>
    <x v="1"/>
  </r>
  <r>
    <x v="1078"/>
    <x v="2"/>
    <x v="2"/>
    <n v="208.6"/>
    <n v="625.79999999999995"/>
    <x v="42"/>
    <d v="2025-02-12T00:00:00"/>
    <s v="M"/>
    <x v="4"/>
    <x v="2"/>
    <x v="0"/>
    <x v="17"/>
    <x v="7"/>
    <x v="6"/>
    <x v="1"/>
  </r>
  <r>
    <x v="1079"/>
    <x v="15"/>
    <x v="2"/>
    <n v="27.8"/>
    <n v="83.4"/>
    <x v="42"/>
    <d v="2025-02-13T00:00:00"/>
    <s v="M"/>
    <x v="3"/>
    <x v="1"/>
    <x v="0"/>
    <x v="11"/>
    <x v="3"/>
    <x v="6"/>
    <x v="1"/>
  </r>
  <r>
    <x v="1080"/>
    <x v="10"/>
    <x v="9"/>
    <n v="29.4"/>
    <n v="147"/>
    <x v="42"/>
    <d v="2025-02-14T00:00:00"/>
    <s v="F"/>
    <x v="0"/>
    <x v="0"/>
    <x v="0"/>
    <x v="11"/>
    <x v="1"/>
    <x v="6"/>
    <x v="2"/>
  </r>
  <r>
    <x v="1081"/>
    <x v="9"/>
    <x v="1"/>
    <n v="29.2"/>
    <n v="58.4"/>
    <x v="42"/>
    <d v="2025-02-14T00:00:00"/>
    <s v="F"/>
    <x v="1"/>
    <x v="2"/>
    <x v="0"/>
    <x v="20"/>
    <x v="1"/>
    <x v="6"/>
    <x v="2"/>
  </r>
  <r>
    <x v="1082"/>
    <x v="10"/>
    <x v="9"/>
    <n v="26.5"/>
    <n v="132.5"/>
    <x v="42"/>
    <d v="2025-02-14T00:00:00"/>
    <s v="F"/>
    <x v="0"/>
    <x v="0"/>
    <x v="0"/>
    <x v="52"/>
    <x v="1"/>
    <x v="6"/>
    <x v="2"/>
  </r>
  <r>
    <x v="1083"/>
    <x v="5"/>
    <x v="0"/>
    <n v="30.3"/>
    <n v="30.3"/>
    <x v="42"/>
    <d v="2025-02-13T00:00:00"/>
    <s v="F"/>
    <x v="4"/>
    <x v="1"/>
    <x v="0"/>
    <x v="13"/>
    <x v="3"/>
    <x v="6"/>
    <x v="2"/>
  </r>
  <r>
    <x v="1084"/>
    <x v="16"/>
    <x v="4"/>
    <n v="39.700000000000003"/>
    <n v="476.40000000000003"/>
    <x v="42"/>
    <d v="2025-02-13T00:00:00"/>
    <s v="F"/>
    <x v="0"/>
    <x v="0"/>
    <x v="0"/>
    <x v="21"/>
    <x v="3"/>
    <x v="6"/>
    <x v="2"/>
  </r>
  <r>
    <x v="1085"/>
    <x v="7"/>
    <x v="7"/>
    <n v="58.9"/>
    <n v="589"/>
    <x v="42"/>
    <d v="2025-02-14T00:00:00"/>
    <s v="F"/>
    <x v="1"/>
    <x v="4"/>
    <x v="0"/>
    <x v="21"/>
    <x v="1"/>
    <x v="6"/>
    <x v="2"/>
  </r>
  <r>
    <x v="1086"/>
    <x v="2"/>
    <x v="1"/>
    <n v="174.1"/>
    <n v="348.2"/>
    <x v="42"/>
    <d v="2025-02-14T00:00:00"/>
    <s v="F"/>
    <x v="0"/>
    <x v="1"/>
    <x v="0"/>
    <x v="46"/>
    <x v="1"/>
    <x v="6"/>
    <x v="2"/>
  </r>
  <r>
    <x v="1087"/>
    <x v="6"/>
    <x v="1"/>
    <n v="70.8"/>
    <n v="141.6"/>
    <x v="42"/>
    <d v="2025-02-15T00:00:00"/>
    <s v="M"/>
    <x v="2"/>
    <x v="0"/>
    <x v="0"/>
    <x v="22"/>
    <x v="2"/>
    <x v="6"/>
    <x v="1"/>
  </r>
  <r>
    <x v="1088"/>
    <x v="7"/>
    <x v="1"/>
    <n v="57.4"/>
    <n v="114.8"/>
    <x v="42"/>
    <d v="2025-02-14T00:00:00"/>
    <s v="F"/>
    <x v="1"/>
    <x v="1"/>
    <x v="0"/>
    <x v="34"/>
    <x v="1"/>
    <x v="6"/>
    <x v="2"/>
  </r>
  <r>
    <x v="1089"/>
    <x v="0"/>
    <x v="1"/>
    <n v="28.5"/>
    <n v="57"/>
    <x v="42"/>
    <d v="2025-02-14T00:00:00"/>
    <s v="M"/>
    <x v="3"/>
    <x v="1"/>
    <x v="0"/>
    <x v="3"/>
    <x v="1"/>
    <x v="6"/>
    <x v="1"/>
  </r>
  <r>
    <x v="1090"/>
    <x v="2"/>
    <x v="28"/>
    <n v="106.6"/>
    <n v="2132"/>
    <x v="42"/>
    <d v="2025-02-13T00:00:00"/>
    <s v=""/>
    <x v="1"/>
    <x v="4"/>
    <x v="0"/>
    <x v="3"/>
    <x v="3"/>
    <x v="6"/>
    <x v="0"/>
  </r>
  <r>
    <x v="1091"/>
    <x v="2"/>
    <x v="2"/>
    <n v="119.7"/>
    <n v="359.1"/>
    <x v="42"/>
    <d v="2025-02-13T00:00:00"/>
    <s v="F"/>
    <x v="1"/>
    <x v="4"/>
    <x v="0"/>
    <x v="3"/>
    <x v="3"/>
    <x v="6"/>
    <x v="2"/>
  </r>
  <r>
    <x v="1092"/>
    <x v="18"/>
    <x v="0"/>
    <n v="73.3"/>
    <n v="73.3"/>
    <x v="42"/>
    <d v="2025-02-17T00:00:00"/>
    <s v="F"/>
    <x v="0"/>
    <x v="2"/>
    <x v="0"/>
    <x v="3"/>
    <x v="0"/>
    <x v="6"/>
    <x v="2"/>
  </r>
  <r>
    <x v="1093"/>
    <x v="0"/>
    <x v="1"/>
    <n v="25.8"/>
    <n v="51.6"/>
    <x v="42"/>
    <d v="2025-02-26T00:00:00"/>
    <s v="M"/>
    <x v="2"/>
    <x v="0"/>
    <x v="0"/>
    <x v="3"/>
    <x v="12"/>
    <x v="6"/>
    <x v="1"/>
  </r>
  <r>
    <x v="1094"/>
    <x v="17"/>
    <x v="2"/>
    <n v="49.1"/>
    <n v="147.30000000000001"/>
    <x v="42"/>
    <d v="2025-02-14T00:00:00"/>
    <s v="F"/>
    <x v="0"/>
    <x v="0"/>
    <x v="0"/>
    <x v="24"/>
    <x v="1"/>
    <x v="6"/>
    <x v="2"/>
  </r>
  <r>
    <x v="1095"/>
    <x v="1"/>
    <x v="0"/>
    <n v="44.9"/>
    <n v="44.9"/>
    <x v="42"/>
    <d v="2025-02-15T00:00:00"/>
    <s v="F"/>
    <x v="3"/>
    <x v="2"/>
    <x v="0"/>
    <x v="6"/>
    <x v="2"/>
    <x v="6"/>
    <x v="2"/>
  </r>
  <r>
    <x v="1096"/>
    <x v="15"/>
    <x v="3"/>
    <n v="29.9"/>
    <n v="209.29999999999998"/>
    <x v="42"/>
    <d v="2025-02-13T00:00:00"/>
    <s v="F"/>
    <x v="0"/>
    <x v="0"/>
    <x v="0"/>
    <x v="6"/>
    <x v="3"/>
    <x v="6"/>
    <x v="2"/>
  </r>
  <r>
    <x v="1097"/>
    <x v="7"/>
    <x v="1"/>
    <n v="54.3"/>
    <n v="108.6"/>
    <x v="43"/>
    <d v="2025-02-14T00:00:00"/>
    <s v="M"/>
    <x v="3"/>
    <x v="0"/>
    <x v="0"/>
    <x v="36"/>
    <x v="3"/>
    <x v="6"/>
    <x v="1"/>
  </r>
  <r>
    <x v="1098"/>
    <x v="9"/>
    <x v="12"/>
    <n v="57"/>
    <n v="228"/>
    <x v="43"/>
    <d v="2025-02-15T00:00:00"/>
    <s v="F"/>
    <x v="0"/>
    <x v="0"/>
    <x v="0"/>
    <x v="8"/>
    <x v="1"/>
    <x v="6"/>
    <x v="2"/>
  </r>
  <r>
    <x v="1099"/>
    <x v="2"/>
    <x v="0"/>
    <n v="139.19999999999999"/>
    <n v="139.19999999999999"/>
    <x v="43"/>
    <d v="2025-02-14T00:00:00"/>
    <s v="F"/>
    <x v="3"/>
    <x v="2"/>
    <x v="0"/>
    <x v="8"/>
    <x v="3"/>
    <x v="6"/>
    <x v="2"/>
  </r>
  <r>
    <x v="1100"/>
    <x v="10"/>
    <x v="0"/>
    <n v="33"/>
    <n v="33"/>
    <x v="43"/>
    <d v="2025-02-16T00:00:00"/>
    <s v="F"/>
    <x v="0"/>
    <x v="2"/>
    <x v="0"/>
    <x v="8"/>
    <x v="2"/>
    <x v="6"/>
    <x v="2"/>
  </r>
  <r>
    <x v="1101"/>
    <x v="11"/>
    <x v="13"/>
    <n v="80.2"/>
    <n v="481.20000000000005"/>
    <x v="43"/>
    <d v="2025-02-15T00:00:00"/>
    <s v="M"/>
    <x v="1"/>
    <x v="4"/>
    <x v="0"/>
    <x v="8"/>
    <x v="1"/>
    <x v="6"/>
    <x v="1"/>
  </r>
  <r>
    <x v="1102"/>
    <x v="18"/>
    <x v="8"/>
    <n v="49"/>
    <n v="392"/>
    <x v="43"/>
    <d v="2025-02-14T00:00:00"/>
    <s v=""/>
    <x v="2"/>
    <x v="1"/>
    <x v="0"/>
    <x v="9"/>
    <x v="3"/>
    <x v="6"/>
    <x v="0"/>
  </r>
  <r>
    <x v="1103"/>
    <x v="1"/>
    <x v="12"/>
    <n v="104.4"/>
    <n v="417.6"/>
    <x v="43"/>
    <d v="2025-02-13T00:00:00"/>
    <s v="F"/>
    <x v="0"/>
    <x v="0"/>
    <x v="0"/>
    <x v="9"/>
    <x v="7"/>
    <x v="6"/>
    <x v="2"/>
  </r>
  <r>
    <x v="1104"/>
    <x v="3"/>
    <x v="0"/>
    <n v="41.6"/>
    <n v="41.6"/>
    <x v="43"/>
    <d v="2025-02-16T00:00:00"/>
    <s v="M"/>
    <x v="3"/>
    <x v="0"/>
    <x v="0"/>
    <x v="11"/>
    <x v="2"/>
    <x v="6"/>
    <x v="1"/>
  </r>
  <r>
    <x v="1105"/>
    <x v="19"/>
    <x v="1"/>
    <n v="16.399999999999999"/>
    <n v="32.799999999999997"/>
    <x v="43"/>
    <d v="2025-02-14T00:00:00"/>
    <s v="O"/>
    <x v="0"/>
    <x v="2"/>
    <x v="0"/>
    <x v="11"/>
    <x v="3"/>
    <x v="6"/>
    <x v="3"/>
  </r>
  <r>
    <x v="1106"/>
    <x v="8"/>
    <x v="1"/>
    <n v="22"/>
    <n v="44"/>
    <x v="43"/>
    <d v="2025-02-14T00:00:00"/>
    <s v="M"/>
    <x v="2"/>
    <x v="2"/>
    <x v="0"/>
    <x v="53"/>
    <x v="3"/>
    <x v="6"/>
    <x v="1"/>
  </r>
  <r>
    <x v="1107"/>
    <x v="15"/>
    <x v="1"/>
    <n v="33.6"/>
    <n v="67.2"/>
    <x v="43"/>
    <d v="2025-02-18T00:00:00"/>
    <s v="F"/>
    <x v="0"/>
    <x v="0"/>
    <x v="0"/>
    <x v="21"/>
    <x v="0"/>
    <x v="6"/>
    <x v="2"/>
  </r>
  <r>
    <x v="1108"/>
    <x v="11"/>
    <x v="13"/>
    <n v="43"/>
    <n v="258"/>
    <x v="43"/>
    <d v="2025-02-14T00:00:00"/>
    <s v="F"/>
    <x v="2"/>
    <x v="0"/>
    <x v="0"/>
    <x v="21"/>
    <x v="3"/>
    <x v="6"/>
    <x v="2"/>
  </r>
  <r>
    <x v="1109"/>
    <x v="6"/>
    <x v="9"/>
    <n v="108.8"/>
    <n v="544"/>
    <x v="43"/>
    <d v="2025-02-16T00:00:00"/>
    <s v="F"/>
    <x v="4"/>
    <x v="2"/>
    <x v="0"/>
    <x v="21"/>
    <x v="2"/>
    <x v="6"/>
    <x v="2"/>
  </r>
  <r>
    <x v="1110"/>
    <x v="0"/>
    <x v="11"/>
    <n v="29.3"/>
    <n v="263.7"/>
    <x v="43"/>
    <d v="2025-02-15T00:00:00"/>
    <s v="M"/>
    <x v="4"/>
    <x v="2"/>
    <x v="0"/>
    <x v="21"/>
    <x v="1"/>
    <x v="6"/>
    <x v="1"/>
  </r>
  <r>
    <x v="1111"/>
    <x v="2"/>
    <x v="0"/>
    <n v="122.7"/>
    <n v="122.7"/>
    <x v="43"/>
    <d v="2025-02-16T00:00:00"/>
    <s v="O"/>
    <x v="0"/>
    <x v="2"/>
    <x v="0"/>
    <x v="1"/>
    <x v="2"/>
    <x v="6"/>
    <x v="3"/>
  </r>
  <r>
    <x v="1112"/>
    <x v="4"/>
    <x v="3"/>
    <n v="22.9"/>
    <n v="160.29999999999998"/>
    <x v="43"/>
    <d v="2025-02-14T00:00:00"/>
    <s v="F"/>
    <x v="0"/>
    <x v="0"/>
    <x v="0"/>
    <x v="42"/>
    <x v="3"/>
    <x v="6"/>
    <x v="2"/>
  </r>
  <r>
    <x v="1113"/>
    <x v="8"/>
    <x v="7"/>
    <n v="25.5"/>
    <n v="255"/>
    <x v="43"/>
    <d v="2025-02-20T00:00:00"/>
    <s v="F"/>
    <x v="0"/>
    <x v="0"/>
    <x v="0"/>
    <x v="33"/>
    <x v="6"/>
    <x v="6"/>
    <x v="2"/>
  </r>
  <r>
    <x v="1114"/>
    <x v="17"/>
    <x v="2"/>
    <n v="23.4"/>
    <n v="70.199999999999989"/>
    <x v="43"/>
    <d v="2025-02-17T00:00:00"/>
    <s v="F"/>
    <x v="0"/>
    <x v="2"/>
    <x v="0"/>
    <x v="3"/>
    <x v="5"/>
    <x v="6"/>
    <x v="2"/>
  </r>
  <r>
    <x v="1115"/>
    <x v="5"/>
    <x v="8"/>
    <n v="27.4"/>
    <n v="219.2"/>
    <x v="43"/>
    <d v="2025-02-16T00:00:00"/>
    <s v="F"/>
    <x v="2"/>
    <x v="0"/>
    <x v="0"/>
    <x v="3"/>
    <x v="2"/>
    <x v="6"/>
    <x v="2"/>
  </r>
  <r>
    <x v="1116"/>
    <x v="5"/>
    <x v="9"/>
    <n v="68.400000000000006"/>
    <n v="342"/>
    <x v="43"/>
    <d v="2025-02-14T00:00:00"/>
    <s v="F"/>
    <x v="0"/>
    <x v="0"/>
    <x v="0"/>
    <x v="3"/>
    <x v="3"/>
    <x v="6"/>
    <x v="2"/>
  </r>
  <r>
    <x v="1117"/>
    <x v="6"/>
    <x v="0"/>
    <n v="51.9"/>
    <n v="51.9"/>
    <x v="43"/>
    <d v="2025-02-13T00:00:00"/>
    <s v="F"/>
    <x v="0"/>
    <x v="0"/>
    <x v="0"/>
    <x v="3"/>
    <x v="7"/>
    <x v="6"/>
    <x v="2"/>
  </r>
  <r>
    <x v="1118"/>
    <x v="0"/>
    <x v="9"/>
    <n v="26.4"/>
    <n v="132"/>
    <x v="43"/>
    <d v="2025-02-16T00:00:00"/>
    <s v="F"/>
    <x v="0"/>
    <x v="2"/>
    <x v="0"/>
    <x v="3"/>
    <x v="2"/>
    <x v="6"/>
    <x v="2"/>
  </r>
  <r>
    <x v="1119"/>
    <x v="12"/>
    <x v="1"/>
    <n v="117"/>
    <n v="234"/>
    <x v="43"/>
    <d v="2025-02-14T00:00:00"/>
    <s v="F"/>
    <x v="1"/>
    <x v="1"/>
    <x v="0"/>
    <x v="3"/>
    <x v="3"/>
    <x v="6"/>
    <x v="2"/>
  </r>
  <r>
    <x v="1120"/>
    <x v="7"/>
    <x v="2"/>
    <n v="49.6"/>
    <n v="148.80000000000001"/>
    <x v="44"/>
    <d v="2025-02-16T00:00:00"/>
    <s v="F"/>
    <x v="0"/>
    <x v="0"/>
    <x v="0"/>
    <x v="3"/>
    <x v="1"/>
    <x v="6"/>
    <x v="2"/>
  </r>
  <r>
    <x v="1121"/>
    <x v="4"/>
    <x v="2"/>
    <n v="38"/>
    <n v="114"/>
    <x v="44"/>
    <d v="2025-02-17T00:00:00"/>
    <s v="M"/>
    <x v="2"/>
    <x v="4"/>
    <x v="0"/>
    <x v="3"/>
    <x v="2"/>
    <x v="6"/>
    <x v="1"/>
  </r>
  <r>
    <x v="1122"/>
    <x v="0"/>
    <x v="2"/>
    <n v="20.6"/>
    <n v="61.800000000000004"/>
    <x v="44"/>
    <d v="2025-02-16T00:00:00"/>
    <s v="F"/>
    <x v="4"/>
    <x v="2"/>
    <x v="0"/>
    <x v="3"/>
    <x v="1"/>
    <x v="6"/>
    <x v="2"/>
  </r>
  <r>
    <x v="1123"/>
    <x v="0"/>
    <x v="1"/>
    <n v="16"/>
    <n v="32"/>
    <x v="44"/>
    <d v="2025-02-15T00:00:00"/>
    <s v="M"/>
    <x v="1"/>
    <x v="1"/>
    <x v="0"/>
    <x v="49"/>
    <x v="3"/>
    <x v="6"/>
    <x v="1"/>
  </r>
  <r>
    <x v="1124"/>
    <x v="15"/>
    <x v="12"/>
    <n v="49.3"/>
    <n v="197.2"/>
    <x v="44"/>
    <d v="2025-02-15T00:00:00"/>
    <s v="F"/>
    <x v="2"/>
    <x v="0"/>
    <x v="0"/>
    <x v="23"/>
    <x v="3"/>
    <x v="6"/>
    <x v="2"/>
  </r>
  <r>
    <x v="1125"/>
    <x v="9"/>
    <x v="1"/>
    <n v="24.1"/>
    <n v="48.2"/>
    <x v="44"/>
    <d v="2025-02-18T00:00:00"/>
    <s v="F"/>
    <x v="0"/>
    <x v="0"/>
    <x v="0"/>
    <x v="6"/>
    <x v="5"/>
    <x v="6"/>
    <x v="2"/>
  </r>
  <r>
    <x v="1126"/>
    <x v="15"/>
    <x v="8"/>
    <n v="32.700000000000003"/>
    <n v="261.60000000000002"/>
    <x v="44"/>
    <d v="2025-02-15T00:00:00"/>
    <s v="F"/>
    <x v="1"/>
    <x v="0"/>
    <x v="0"/>
    <x v="6"/>
    <x v="3"/>
    <x v="6"/>
    <x v="2"/>
  </r>
  <r>
    <x v="1127"/>
    <x v="6"/>
    <x v="2"/>
    <n v="74.400000000000006"/>
    <n v="223.20000000000002"/>
    <x v="44"/>
    <d v="2025-02-15T00:00:00"/>
    <s v="F"/>
    <x v="3"/>
    <x v="2"/>
    <x v="0"/>
    <x v="8"/>
    <x v="3"/>
    <x v="6"/>
    <x v="2"/>
  </r>
  <r>
    <x v="1128"/>
    <x v="12"/>
    <x v="0"/>
    <n v="45.6"/>
    <n v="45.6"/>
    <x v="44"/>
    <d v="2025-02-18T00:00:00"/>
    <s v="F"/>
    <x v="4"/>
    <x v="0"/>
    <x v="0"/>
    <x v="8"/>
    <x v="5"/>
    <x v="6"/>
    <x v="2"/>
  </r>
  <r>
    <x v="1129"/>
    <x v="8"/>
    <x v="8"/>
    <n v="19.600000000000001"/>
    <n v="156.80000000000001"/>
    <x v="44"/>
    <d v="2025-02-27T00:00:00"/>
    <s v="F"/>
    <x v="0"/>
    <x v="0"/>
    <x v="0"/>
    <x v="8"/>
    <x v="10"/>
    <x v="6"/>
    <x v="2"/>
  </r>
  <r>
    <x v="1130"/>
    <x v="9"/>
    <x v="0"/>
    <n v="51.8"/>
    <n v="51.8"/>
    <x v="44"/>
    <d v="2025-02-15T00:00:00"/>
    <s v="F"/>
    <x v="1"/>
    <x v="0"/>
    <x v="0"/>
    <x v="8"/>
    <x v="3"/>
    <x v="6"/>
    <x v="2"/>
  </r>
  <r>
    <x v="1131"/>
    <x v="6"/>
    <x v="0"/>
    <n v="74.7"/>
    <n v="74.7"/>
    <x v="44"/>
    <d v="2025-02-15T00:00:00"/>
    <s v="M"/>
    <x v="0"/>
    <x v="1"/>
    <x v="0"/>
    <x v="8"/>
    <x v="3"/>
    <x v="6"/>
    <x v="1"/>
  </r>
  <r>
    <x v="1132"/>
    <x v="19"/>
    <x v="2"/>
    <n v="22.4"/>
    <n v="67.199999999999989"/>
    <x v="44"/>
    <d v="2025-02-15T00:00:00"/>
    <s v="F"/>
    <x v="1"/>
    <x v="2"/>
    <x v="0"/>
    <x v="9"/>
    <x v="3"/>
    <x v="6"/>
    <x v="2"/>
  </r>
  <r>
    <x v="1133"/>
    <x v="1"/>
    <x v="12"/>
    <n v="31.4"/>
    <n v="125.6"/>
    <x v="44"/>
    <d v="2025-02-15T00:00:00"/>
    <s v="F"/>
    <x v="1"/>
    <x v="0"/>
    <x v="0"/>
    <x v="9"/>
    <x v="3"/>
    <x v="6"/>
    <x v="2"/>
  </r>
  <r>
    <x v="1134"/>
    <x v="6"/>
    <x v="0"/>
    <n v="94"/>
    <n v="94"/>
    <x v="44"/>
    <d v="2025-02-14T00:00:00"/>
    <s v="F"/>
    <x v="1"/>
    <x v="2"/>
    <x v="0"/>
    <x v="10"/>
    <x v="7"/>
    <x v="6"/>
    <x v="2"/>
  </r>
  <r>
    <x v="1135"/>
    <x v="10"/>
    <x v="0"/>
    <n v="22.3"/>
    <n v="22.3"/>
    <x v="44"/>
    <d v="2025-02-15T00:00:00"/>
    <s v="M"/>
    <x v="4"/>
    <x v="0"/>
    <x v="0"/>
    <x v="20"/>
    <x v="3"/>
    <x v="6"/>
    <x v="1"/>
  </r>
  <r>
    <x v="1136"/>
    <x v="0"/>
    <x v="0"/>
    <n v="21.9"/>
    <n v="21.9"/>
    <x v="44"/>
    <d v="2025-02-17T00:00:00"/>
    <s v="F"/>
    <x v="2"/>
    <x v="0"/>
    <x v="0"/>
    <x v="21"/>
    <x v="2"/>
    <x v="6"/>
    <x v="2"/>
  </r>
  <r>
    <x v="1137"/>
    <x v="17"/>
    <x v="2"/>
    <n v="27"/>
    <n v="81"/>
    <x v="44"/>
    <d v="2025-02-16T00:00:00"/>
    <s v="F"/>
    <x v="4"/>
    <x v="2"/>
    <x v="0"/>
    <x v="2"/>
    <x v="1"/>
    <x v="6"/>
    <x v="2"/>
  </r>
  <r>
    <x v="1138"/>
    <x v="2"/>
    <x v="12"/>
    <n v="149.6"/>
    <n v="598.4"/>
    <x v="44"/>
    <d v="2025-02-14T00:00:00"/>
    <s v="F"/>
    <x v="4"/>
    <x v="0"/>
    <x v="0"/>
    <x v="22"/>
    <x v="7"/>
    <x v="6"/>
    <x v="2"/>
  </r>
  <r>
    <x v="1139"/>
    <x v="2"/>
    <x v="12"/>
    <n v="129.1"/>
    <n v="516.4"/>
    <x v="44"/>
    <d v="2025-02-24T00:00:00"/>
    <s v="M"/>
    <x v="0"/>
    <x v="1"/>
    <x v="0"/>
    <x v="3"/>
    <x v="14"/>
    <x v="6"/>
    <x v="1"/>
  </r>
  <r>
    <x v="1140"/>
    <x v="1"/>
    <x v="4"/>
    <n v="40.4"/>
    <n v="484.79999999999995"/>
    <x v="44"/>
    <d v="2025-02-15T00:00:00"/>
    <s v="M"/>
    <x v="1"/>
    <x v="1"/>
    <x v="0"/>
    <x v="3"/>
    <x v="3"/>
    <x v="6"/>
    <x v="1"/>
  </r>
  <r>
    <x v="1141"/>
    <x v="4"/>
    <x v="2"/>
    <n v="48.5"/>
    <n v="145.5"/>
    <x v="44"/>
    <d v="2025-02-16T00:00:00"/>
    <s v="F"/>
    <x v="0"/>
    <x v="4"/>
    <x v="0"/>
    <x v="3"/>
    <x v="1"/>
    <x v="6"/>
    <x v="2"/>
  </r>
  <r>
    <x v="1142"/>
    <x v="9"/>
    <x v="1"/>
    <n v="37.6"/>
    <n v="75.2"/>
    <x v="44"/>
    <d v="2025-02-16T00:00:00"/>
    <s v="F"/>
    <x v="1"/>
    <x v="2"/>
    <x v="0"/>
    <x v="3"/>
    <x v="1"/>
    <x v="6"/>
    <x v="2"/>
  </r>
  <r>
    <x v="1143"/>
    <x v="8"/>
    <x v="1"/>
    <n v="19.600000000000001"/>
    <n v="39.200000000000003"/>
    <x v="44"/>
    <d v="2025-02-15T00:00:00"/>
    <s v="M"/>
    <x v="3"/>
    <x v="4"/>
    <x v="0"/>
    <x v="43"/>
    <x v="3"/>
    <x v="6"/>
    <x v="1"/>
  </r>
  <r>
    <x v="1144"/>
    <x v="8"/>
    <x v="9"/>
    <n v="18.5"/>
    <n v="92.5"/>
    <x v="44"/>
    <d v="2025-02-15T00:00:00"/>
    <s v="F"/>
    <x v="2"/>
    <x v="1"/>
    <x v="0"/>
    <x v="6"/>
    <x v="3"/>
    <x v="6"/>
    <x v="2"/>
  </r>
  <r>
    <x v="1145"/>
    <x v="5"/>
    <x v="2"/>
    <n v="25.5"/>
    <n v="76.5"/>
    <x v="44"/>
    <d v="2025-02-16T00:00:00"/>
    <s v="F"/>
    <x v="4"/>
    <x v="1"/>
    <x v="0"/>
    <x v="6"/>
    <x v="1"/>
    <x v="6"/>
    <x v="2"/>
  </r>
  <r>
    <x v="1146"/>
    <x v="2"/>
    <x v="1"/>
    <n v="94.7"/>
    <n v="189.4"/>
    <x v="44"/>
    <d v="2025-02-15T00:00:00"/>
    <s v="F"/>
    <x v="2"/>
    <x v="0"/>
    <x v="0"/>
    <x v="36"/>
    <x v="3"/>
    <x v="6"/>
    <x v="2"/>
  </r>
  <r>
    <x v="1147"/>
    <x v="1"/>
    <x v="13"/>
    <n v="38.799999999999997"/>
    <n v="232.79999999999998"/>
    <x v="44"/>
    <d v="2025-02-19T00:00:00"/>
    <s v="F"/>
    <x v="2"/>
    <x v="2"/>
    <x v="0"/>
    <x v="8"/>
    <x v="0"/>
    <x v="6"/>
    <x v="2"/>
  </r>
  <r>
    <x v="1148"/>
    <x v="9"/>
    <x v="1"/>
    <n v="49.4"/>
    <n v="98.8"/>
    <x v="45"/>
    <d v="2025-02-23T00:00:00"/>
    <s v="M"/>
    <x v="4"/>
    <x v="1"/>
    <x v="0"/>
    <x v="8"/>
    <x v="9"/>
    <x v="6"/>
    <x v="1"/>
  </r>
  <r>
    <x v="1149"/>
    <x v="7"/>
    <x v="2"/>
    <n v="68"/>
    <n v="204"/>
    <x v="45"/>
    <d v="2025-02-18T00:00:00"/>
    <s v="M"/>
    <x v="0"/>
    <x v="2"/>
    <x v="0"/>
    <x v="8"/>
    <x v="2"/>
    <x v="6"/>
    <x v="1"/>
  </r>
  <r>
    <x v="1150"/>
    <x v="15"/>
    <x v="3"/>
    <n v="63.7"/>
    <n v="445.90000000000003"/>
    <x v="45"/>
    <d v="2025-02-16T00:00:00"/>
    <s v="F"/>
    <x v="2"/>
    <x v="2"/>
    <x v="0"/>
    <x v="8"/>
    <x v="3"/>
    <x v="6"/>
    <x v="2"/>
  </r>
  <r>
    <x v="1151"/>
    <x v="10"/>
    <x v="1"/>
    <n v="66.2"/>
    <n v="132.4"/>
    <x v="45"/>
    <d v="2025-02-16T00:00:00"/>
    <s v="F"/>
    <x v="4"/>
    <x v="2"/>
    <x v="0"/>
    <x v="17"/>
    <x v="3"/>
    <x v="6"/>
    <x v="2"/>
  </r>
  <r>
    <x v="1152"/>
    <x v="12"/>
    <x v="2"/>
    <n v="32.299999999999997"/>
    <n v="96.899999999999991"/>
    <x v="45"/>
    <d v="2025-02-16T00:00:00"/>
    <s v="O"/>
    <x v="2"/>
    <x v="1"/>
    <x v="0"/>
    <x v="9"/>
    <x v="3"/>
    <x v="6"/>
    <x v="3"/>
  </r>
  <r>
    <x v="1153"/>
    <x v="4"/>
    <x v="1"/>
    <n v="66.900000000000006"/>
    <n v="133.80000000000001"/>
    <x v="45"/>
    <d v="2025-02-18T00:00:00"/>
    <s v="M"/>
    <x v="1"/>
    <x v="0"/>
    <x v="0"/>
    <x v="11"/>
    <x v="2"/>
    <x v="6"/>
    <x v="1"/>
  </r>
  <r>
    <x v="1154"/>
    <x v="4"/>
    <x v="4"/>
    <n v="25.2"/>
    <n v="302.39999999999998"/>
    <x v="45"/>
    <d v="2025-02-19T00:00:00"/>
    <s v="F"/>
    <x v="0"/>
    <x v="1"/>
    <x v="0"/>
    <x v="11"/>
    <x v="5"/>
    <x v="6"/>
    <x v="2"/>
  </r>
  <r>
    <x v="1155"/>
    <x v="10"/>
    <x v="13"/>
    <n v="29.5"/>
    <n v="177"/>
    <x v="45"/>
    <d v="2025-02-16T00:00:00"/>
    <s v="M"/>
    <x v="2"/>
    <x v="0"/>
    <x v="0"/>
    <x v="11"/>
    <x v="3"/>
    <x v="6"/>
    <x v="1"/>
  </r>
  <r>
    <x v="1156"/>
    <x v="8"/>
    <x v="9"/>
    <n v="21.6"/>
    <n v="108"/>
    <x v="45"/>
    <d v="2025-02-17T00:00:00"/>
    <s v="F"/>
    <x v="0"/>
    <x v="2"/>
    <x v="0"/>
    <x v="32"/>
    <x v="1"/>
    <x v="6"/>
    <x v="2"/>
  </r>
  <r>
    <x v="1157"/>
    <x v="12"/>
    <x v="2"/>
    <n v="69"/>
    <n v="207"/>
    <x v="45"/>
    <d v="2025-02-16T00:00:00"/>
    <s v="F"/>
    <x v="0"/>
    <x v="0"/>
    <x v="0"/>
    <x v="18"/>
    <x v="3"/>
    <x v="6"/>
    <x v="2"/>
  </r>
  <r>
    <x v="1158"/>
    <x v="7"/>
    <x v="1"/>
    <n v="115"/>
    <n v="230"/>
    <x v="45"/>
    <d v="2025-02-19T00:00:00"/>
    <s v="M"/>
    <x v="0"/>
    <x v="2"/>
    <x v="0"/>
    <x v="18"/>
    <x v="5"/>
    <x v="6"/>
    <x v="1"/>
  </r>
  <r>
    <x v="1159"/>
    <x v="2"/>
    <x v="1"/>
    <n v="109.3"/>
    <n v="218.6"/>
    <x v="45"/>
    <d v="2025-02-17T00:00:00"/>
    <s v=""/>
    <x v="3"/>
    <x v="1"/>
    <x v="0"/>
    <x v="19"/>
    <x v="1"/>
    <x v="6"/>
    <x v="0"/>
  </r>
  <r>
    <x v="1160"/>
    <x v="9"/>
    <x v="1"/>
    <n v="66.599999999999994"/>
    <n v="133.19999999999999"/>
    <x v="45"/>
    <d v="2025-02-18T00:00:00"/>
    <s v=""/>
    <x v="4"/>
    <x v="1"/>
    <x v="0"/>
    <x v="19"/>
    <x v="2"/>
    <x v="6"/>
    <x v="0"/>
  </r>
  <r>
    <x v="1161"/>
    <x v="12"/>
    <x v="9"/>
    <n v="47.7"/>
    <n v="238.5"/>
    <x v="45"/>
    <d v="2025-02-16T00:00:00"/>
    <s v="M"/>
    <x v="3"/>
    <x v="2"/>
    <x v="0"/>
    <x v="21"/>
    <x v="3"/>
    <x v="6"/>
    <x v="1"/>
  </r>
  <r>
    <x v="1162"/>
    <x v="8"/>
    <x v="1"/>
    <n v="46"/>
    <n v="92"/>
    <x v="45"/>
    <d v="2025-02-16T00:00:00"/>
    <s v="F"/>
    <x v="4"/>
    <x v="4"/>
    <x v="0"/>
    <x v="22"/>
    <x v="3"/>
    <x v="6"/>
    <x v="2"/>
  </r>
  <r>
    <x v="1163"/>
    <x v="1"/>
    <x v="13"/>
    <n v="39.299999999999997"/>
    <n v="235.79999999999998"/>
    <x v="45"/>
    <d v="2025-02-17T00:00:00"/>
    <s v="M"/>
    <x v="3"/>
    <x v="2"/>
    <x v="0"/>
    <x v="3"/>
    <x v="1"/>
    <x v="6"/>
    <x v="1"/>
  </r>
  <r>
    <x v="1164"/>
    <x v="9"/>
    <x v="0"/>
    <n v="70.2"/>
    <n v="70.2"/>
    <x v="45"/>
    <d v="2025-02-16T00:00:00"/>
    <s v="F"/>
    <x v="0"/>
    <x v="4"/>
    <x v="0"/>
    <x v="3"/>
    <x v="3"/>
    <x v="6"/>
    <x v="2"/>
  </r>
  <r>
    <x v="1165"/>
    <x v="3"/>
    <x v="12"/>
    <n v="71.5"/>
    <n v="286"/>
    <x v="45"/>
    <d v="2025-02-15T00:00:00"/>
    <s v="F"/>
    <x v="1"/>
    <x v="2"/>
    <x v="0"/>
    <x v="3"/>
    <x v="7"/>
    <x v="6"/>
    <x v="2"/>
  </r>
  <r>
    <x v="1166"/>
    <x v="10"/>
    <x v="3"/>
    <n v="31"/>
    <n v="217"/>
    <x v="45"/>
    <d v="2025-02-22T00:00:00"/>
    <s v="F"/>
    <x v="3"/>
    <x v="2"/>
    <x v="0"/>
    <x v="3"/>
    <x v="6"/>
    <x v="6"/>
    <x v="2"/>
  </r>
  <r>
    <x v="1167"/>
    <x v="2"/>
    <x v="9"/>
    <n v="68.2"/>
    <n v="341"/>
    <x v="45"/>
    <d v="2025-02-20T00:00:00"/>
    <s v="F"/>
    <x v="0"/>
    <x v="2"/>
    <x v="0"/>
    <x v="3"/>
    <x v="0"/>
    <x v="6"/>
    <x v="2"/>
  </r>
  <r>
    <x v="1168"/>
    <x v="2"/>
    <x v="0"/>
    <n v="91.4"/>
    <n v="91.4"/>
    <x v="45"/>
    <d v="2025-02-19T00:00:00"/>
    <s v="F"/>
    <x v="1"/>
    <x v="2"/>
    <x v="0"/>
    <x v="6"/>
    <x v="5"/>
    <x v="6"/>
    <x v="2"/>
  </r>
  <r>
    <x v="1169"/>
    <x v="6"/>
    <x v="7"/>
    <n v="112.9"/>
    <n v="1129"/>
    <x v="45"/>
    <d v="2025-02-16T00:00:00"/>
    <s v="F"/>
    <x v="0"/>
    <x v="0"/>
    <x v="0"/>
    <x v="6"/>
    <x v="3"/>
    <x v="6"/>
    <x v="2"/>
  </r>
  <r>
    <x v="1170"/>
    <x v="17"/>
    <x v="11"/>
    <n v="33.700000000000003"/>
    <n v="303.3"/>
    <x v="45"/>
    <d v="2025-02-16T00:00:00"/>
    <s v="F"/>
    <x v="1"/>
    <x v="2"/>
    <x v="0"/>
    <x v="8"/>
    <x v="3"/>
    <x v="6"/>
    <x v="2"/>
  </r>
  <r>
    <x v="1171"/>
    <x v="15"/>
    <x v="7"/>
    <n v="35.299999999999997"/>
    <n v="353"/>
    <x v="45"/>
    <d v="2025-02-17T00:00:00"/>
    <s v="M"/>
    <x v="2"/>
    <x v="0"/>
    <x v="0"/>
    <x v="8"/>
    <x v="1"/>
    <x v="6"/>
    <x v="1"/>
  </r>
  <r>
    <x v="1172"/>
    <x v="18"/>
    <x v="2"/>
    <n v="45.6"/>
    <n v="136.80000000000001"/>
    <x v="45"/>
    <d v="2025-02-19T00:00:00"/>
    <s v="M"/>
    <x v="3"/>
    <x v="0"/>
    <x v="0"/>
    <x v="8"/>
    <x v="5"/>
    <x v="6"/>
    <x v="1"/>
  </r>
  <r>
    <x v="1173"/>
    <x v="7"/>
    <x v="3"/>
    <n v="47.1"/>
    <n v="329.7"/>
    <x v="45"/>
    <d v="2025-02-16T00:00:00"/>
    <s v="F"/>
    <x v="4"/>
    <x v="2"/>
    <x v="0"/>
    <x v="9"/>
    <x v="3"/>
    <x v="6"/>
    <x v="2"/>
  </r>
  <r>
    <x v="1174"/>
    <x v="8"/>
    <x v="9"/>
    <n v="16.2"/>
    <n v="81"/>
    <x v="45"/>
    <d v="2025-02-17T00:00:00"/>
    <s v="F"/>
    <x v="3"/>
    <x v="2"/>
    <x v="0"/>
    <x v="19"/>
    <x v="1"/>
    <x v="6"/>
    <x v="2"/>
  </r>
  <r>
    <x v="1175"/>
    <x v="1"/>
    <x v="1"/>
    <n v="159.69999999999999"/>
    <n v="319.39999999999998"/>
    <x v="46"/>
    <d v="2025-02-17T00:00:00"/>
    <s v="M"/>
    <x v="4"/>
    <x v="0"/>
    <x v="0"/>
    <x v="13"/>
    <x v="3"/>
    <x v="7"/>
    <x v="1"/>
  </r>
  <r>
    <x v="1176"/>
    <x v="8"/>
    <x v="12"/>
    <n v="19"/>
    <n v="76"/>
    <x v="46"/>
    <d v="2025-02-23T00:00:00"/>
    <s v="F"/>
    <x v="2"/>
    <x v="2"/>
    <x v="0"/>
    <x v="21"/>
    <x v="6"/>
    <x v="7"/>
    <x v="2"/>
  </r>
  <r>
    <x v="1177"/>
    <x v="6"/>
    <x v="13"/>
    <n v="91.1"/>
    <n v="546.59999999999991"/>
    <x v="46"/>
    <d v="2025-02-25T00:00:00"/>
    <s v="F"/>
    <x v="4"/>
    <x v="0"/>
    <x v="0"/>
    <x v="21"/>
    <x v="8"/>
    <x v="7"/>
    <x v="2"/>
  </r>
  <r>
    <x v="1178"/>
    <x v="2"/>
    <x v="9"/>
    <n v="94.1"/>
    <n v="470.5"/>
    <x v="46"/>
    <d v="2025-02-19T00:00:00"/>
    <s v=""/>
    <x v="1"/>
    <x v="1"/>
    <x v="0"/>
    <x v="21"/>
    <x v="2"/>
    <x v="7"/>
    <x v="0"/>
  </r>
  <r>
    <x v="1179"/>
    <x v="9"/>
    <x v="11"/>
    <n v="21.1"/>
    <n v="189.9"/>
    <x v="46"/>
    <d v="2025-02-17T00:00:00"/>
    <s v="F"/>
    <x v="4"/>
    <x v="2"/>
    <x v="0"/>
    <x v="51"/>
    <x v="3"/>
    <x v="7"/>
    <x v="2"/>
  </r>
  <r>
    <x v="1180"/>
    <x v="8"/>
    <x v="3"/>
    <n v="15.3"/>
    <n v="107.10000000000001"/>
    <x v="46"/>
    <d v="2025-02-24T00:00:00"/>
    <s v="F"/>
    <x v="2"/>
    <x v="0"/>
    <x v="0"/>
    <x v="1"/>
    <x v="9"/>
    <x v="7"/>
    <x v="2"/>
  </r>
  <r>
    <x v="1181"/>
    <x v="15"/>
    <x v="12"/>
    <n v="21.3"/>
    <n v="85.2"/>
    <x v="46"/>
    <d v="2025-02-19T00:00:00"/>
    <s v="M"/>
    <x v="1"/>
    <x v="0"/>
    <x v="0"/>
    <x v="3"/>
    <x v="2"/>
    <x v="7"/>
    <x v="1"/>
  </r>
  <r>
    <x v="1182"/>
    <x v="0"/>
    <x v="1"/>
    <n v="23.2"/>
    <n v="46.4"/>
    <x v="46"/>
    <d v="2025-02-16T00:00:00"/>
    <s v=""/>
    <x v="3"/>
    <x v="1"/>
    <x v="0"/>
    <x v="3"/>
    <x v="7"/>
    <x v="7"/>
    <x v="0"/>
  </r>
  <r>
    <x v="1183"/>
    <x v="4"/>
    <x v="2"/>
    <n v="25.7"/>
    <n v="77.099999999999994"/>
    <x v="46"/>
    <d v="2025-02-17T00:00:00"/>
    <s v="M"/>
    <x v="4"/>
    <x v="0"/>
    <x v="0"/>
    <x v="3"/>
    <x v="3"/>
    <x v="7"/>
    <x v="1"/>
  </r>
  <r>
    <x v="1184"/>
    <x v="0"/>
    <x v="11"/>
    <n v="31.6"/>
    <n v="284.40000000000003"/>
    <x v="46"/>
    <d v="2025-02-18T00:00:00"/>
    <s v="F"/>
    <x v="0"/>
    <x v="0"/>
    <x v="0"/>
    <x v="3"/>
    <x v="1"/>
    <x v="7"/>
    <x v="2"/>
  </r>
  <r>
    <x v="1185"/>
    <x v="6"/>
    <x v="0"/>
    <n v="64.2"/>
    <n v="64.2"/>
    <x v="46"/>
    <d v="2025-02-21T00:00:00"/>
    <s v="M"/>
    <x v="0"/>
    <x v="0"/>
    <x v="0"/>
    <x v="3"/>
    <x v="0"/>
    <x v="7"/>
    <x v="1"/>
  </r>
  <r>
    <x v="1186"/>
    <x v="8"/>
    <x v="1"/>
    <n v="55.8"/>
    <n v="111.6"/>
    <x v="46"/>
    <d v="2025-02-18T00:00:00"/>
    <s v=""/>
    <x v="0"/>
    <x v="0"/>
    <x v="0"/>
    <x v="3"/>
    <x v="1"/>
    <x v="7"/>
    <x v="0"/>
  </r>
  <r>
    <x v="1187"/>
    <x v="8"/>
    <x v="1"/>
    <n v="28.1"/>
    <n v="56.2"/>
    <x v="46"/>
    <d v="2025-02-17T00:00:00"/>
    <s v="F"/>
    <x v="4"/>
    <x v="1"/>
    <x v="0"/>
    <x v="3"/>
    <x v="3"/>
    <x v="7"/>
    <x v="2"/>
  </r>
  <r>
    <x v="1188"/>
    <x v="0"/>
    <x v="1"/>
    <n v="11.6"/>
    <n v="23.2"/>
    <x v="46"/>
    <d v="2025-02-18T00:00:00"/>
    <s v="F"/>
    <x v="1"/>
    <x v="0"/>
    <x v="0"/>
    <x v="24"/>
    <x v="1"/>
    <x v="7"/>
    <x v="2"/>
  </r>
  <r>
    <x v="1189"/>
    <x v="5"/>
    <x v="2"/>
    <n v="50.4"/>
    <n v="151.19999999999999"/>
    <x v="46"/>
    <d v="2025-02-17T00:00:00"/>
    <s v="M"/>
    <x v="4"/>
    <x v="2"/>
    <x v="0"/>
    <x v="25"/>
    <x v="3"/>
    <x v="7"/>
    <x v="1"/>
  </r>
  <r>
    <x v="1190"/>
    <x v="6"/>
    <x v="13"/>
    <n v="48.3"/>
    <n v="289.79999999999995"/>
    <x v="46"/>
    <d v="2025-02-20T00:00:00"/>
    <s v="F"/>
    <x v="0"/>
    <x v="0"/>
    <x v="0"/>
    <x v="25"/>
    <x v="5"/>
    <x v="7"/>
    <x v="2"/>
  </r>
  <r>
    <x v="1191"/>
    <x v="17"/>
    <x v="3"/>
    <n v="32.200000000000003"/>
    <n v="225.40000000000003"/>
    <x v="46"/>
    <d v="2025-02-18T00:00:00"/>
    <s v="F"/>
    <x v="2"/>
    <x v="0"/>
    <x v="0"/>
    <x v="25"/>
    <x v="1"/>
    <x v="7"/>
    <x v="2"/>
  </r>
  <r>
    <x v="1192"/>
    <x v="7"/>
    <x v="31"/>
    <n v="48.5"/>
    <n v="1358"/>
    <x v="46"/>
    <d v="2025-02-17T00:00:00"/>
    <s v="M"/>
    <x v="0"/>
    <x v="0"/>
    <x v="0"/>
    <x v="5"/>
    <x v="3"/>
    <x v="7"/>
    <x v="1"/>
  </r>
  <r>
    <x v="1193"/>
    <x v="2"/>
    <x v="9"/>
    <n v="62"/>
    <n v="310"/>
    <x v="46"/>
    <d v="2025-02-19T00:00:00"/>
    <s v="F"/>
    <x v="1"/>
    <x v="0"/>
    <x v="0"/>
    <x v="6"/>
    <x v="2"/>
    <x v="7"/>
    <x v="2"/>
  </r>
  <r>
    <x v="1194"/>
    <x v="8"/>
    <x v="2"/>
    <n v="32.1"/>
    <n v="96.300000000000011"/>
    <x v="47"/>
    <d v="2025-02-19T00:00:00"/>
    <s v="M"/>
    <x v="0"/>
    <x v="0"/>
    <x v="0"/>
    <x v="6"/>
    <x v="1"/>
    <x v="7"/>
    <x v="1"/>
  </r>
  <r>
    <x v="1195"/>
    <x v="12"/>
    <x v="2"/>
    <n v="106.1"/>
    <n v="318.29999999999995"/>
    <x v="47"/>
    <d v="2025-02-19T00:00:00"/>
    <s v="M"/>
    <x v="0"/>
    <x v="1"/>
    <x v="0"/>
    <x v="7"/>
    <x v="1"/>
    <x v="7"/>
    <x v="1"/>
  </r>
  <r>
    <x v="1196"/>
    <x v="10"/>
    <x v="2"/>
    <n v="23.5"/>
    <n v="70.5"/>
    <x v="47"/>
    <d v="2025-02-20T00:00:00"/>
    <s v="M"/>
    <x v="0"/>
    <x v="4"/>
    <x v="0"/>
    <x v="7"/>
    <x v="2"/>
    <x v="7"/>
    <x v="1"/>
  </r>
  <r>
    <x v="1197"/>
    <x v="1"/>
    <x v="1"/>
    <n v="35.6"/>
    <n v="71.2"/>
    <x v="47"/>
    <d v="2025-02-22T00:00:00"/>
    <s v="M"/>
    <x v="4"/>
    <x v="0"/>
    <x v="0"/>
    <x v="8"/>
    <x v="0"/>
    <x v="7"/>
    <x v="1"/>
  </r>
  <r>
    <x v="1198"/>
    <x v="1"/>
    <x v="1"/>
    <n v="63.5"/>
    <n v="127"/>
    <x v="47"/>
    <d v="2025-02-17T00:00:00"/>
    <s v="F"/>
    <x v="1"/>
    <x v="2"/>
    <x v="0"/>
    <x v="8"/>
    <x v="7"/>
    <x v="7"/>
    <x v="2"/>
  </r>
  <r>
    <x v="1199"/>
    <x v="6"/>
    <x v="3"/>
    <n v="82.9"/>
    <n v="580.30000000000007"/>
    <x v="47"/>
    <d v="2025-02-22T00:00:00"/>
    <s v="F"/>
    <x v="4"/>
    <x v="0"/>
    <x v="0"/>
    <x v="9"/>
    <x v="0"/>
    <x v="7"/>
    <x v="2"/>
  </r>
  <r>
    <x v="1200"/>
    <x v="6"/>
    <x v="1"/>
    <n v="83.6"/>
    <n v="167.2"/>
    <x v="47"/>
    <d v="2025-02-22T00:00:00"/>
    <s v="F"/>
    <x v="0"/>
    <x v="0"/>
    <x v="0"/>
    <x v="11"/>
    <x v="0"/>
    <x v="7"/>
    <x v="2"/>
  </r>
  <r>
    <x v="1201"/>
    <x v="4"/>
    <x v="1"/>
    <n v="29.4"/>
    <n v="58.8"/>
    <x v="47"/>
    <d v="2025-02-17T00:00:00"/>
    <s v="F"/>
    <x v="0"/>
    <x v="1"/>
    <x v="0"/>
    <x v="30"/>
    <x v="7"/>
    <x v="7"/>
    <x v="2"/>
  </r>
  <r>
    <x v="1202"/>
    <x v="2"/>
    <x v="2"/>
    <n v="107.1"/>
    <n v="321.29999999999995"/>
    <x v="47"/>
    <d v="2025-02-21T00:00:00"/>
    <s v="F"/>
    <x v="2"/>
    <x v="0"/>
    <x v="0"/>
    <x v="20"/>
    <x v="5"/>
    <x v="7"/>
    <x v="2"/>
  </r>
  <r>
    <x v="1203"/>
    <x v="2"/>
    <x v="0"/>
    <n v="62.7"/>
    <n v="62.7"/>
    <x v="47"/>
    <d v="2025-02-21T00:00:00"/>
    <s v="M"/>
    <x v="1"/>
    <x v="0"/>
    <x v="0"/>
    <x v="21"/>
    <x v="5"/>
    <x v="7"/>
    <x v="1"/>
  </r>
  <r>
    <x v="1204"/>
    <x v="11"/>
    <x v="0"/>
    <n v="41.6"/>
    <n v="41.6"/>
    <x v="47"/>
    <d v="2025-02-18T00:00:00"/>
    <s v="M"/>
    <x v="0"/>
    <x v="1"/>
    <x v="0"/>
    <x v="1"/>
    <x v="3"/>
    <x v="7"/>
    <x v="1"/>
  </r>
  <r>
    <x v="1205"/>
    <x v="6"/>
    <x v="0"/>
    <n v="44.2"/>
    <n v="44.2"/>
    <x v="47"/>
    <d v="2025-02-18T00:00:00"/>
    <s v="O"/>
    <x v="0"/>
    <x v="1"/>
    <x v="0"/>
    <x v="1"/>
    <x v="3"/>
    <x v="7"/>
    <x v="3"/>
  </r>
  <r>
    <x v="1206"/>
    <x v="4"/>
    <x v="13"/>
    <n v="40.4"/>
    <n v="242.39999999999998"/>
    <x v="47"/>
    <d v="2025-03-02T00:00:00"/>
    <s v="F"/>
    <x v="2"/>
    <x v="0"/>
    <x v="0"/>
    <x v="22"/>
    <x v="10"/>
    <x v="7"/>
    <x v="2"/>
  </r>
  <r>
    <x v="1207"/>
    <x v="15"/>
    <x v="13"/>
    <n v="59.6"/>
    <n v="357.6"/>
    <x v="47"/>
    <d v="2025-02-18T00:00:00"/>
    <s v="F"/>
    <x v="4"/>
    <x v="0"/>
    <x v="0"/>
    <x v="34"/>
    <x v="3"/>
    <x v="7"/>
    <x v="2"/>
  </r>
  <r>
    <x v="1208"/>
    <x v="17"/>
    <x v="4"/>
    <n v="63.8"/>
    <n v="765.59999999999991"/>
    <x v="47"/>
    <d v="2025-02-18T00:00:00"/>
    <s v="M"/>
    <x v="1"/>
    <x v="0"/>
    <x v="0"/>
    <x v="3"/>
    <x v="3"/>
    <x v="7"/>
    <x v="1"/>
  </r>
  <r>
    <x v="1209"/>
    <x v="9"/>
    <x v="13"/>
    <n v="30.8"/>
    <n v="184.8"/>
    <x v="47"/>
    <d v="2025-02-19T00:00:00"/>
    <s v="M"/>
    <x v="4"/>
    <x v="0"/>
    <x v="0"/>
    <x v="3"/>
    <x v="1"/>
    <x v="7"/>
    <x v="1"/>
  </r>
  <r>
    <x v="1210"/>
    <x v="1"/>
    <x v="1"/>
    <n v="41.5"/>
    <n v="83"/>
    <x v="47"/>
    <d v="2025-02-20T00:00:00"/>
    <s v="O"/>
    <x v="0"/>
    <x v="0"/>
    <x v="0"/>
    <x v="3"/>
    <x v="2"/>
    <x v="7"/>
    <x v="3"/>
  </r>
  <r>
    <x v="1211"/>
    <x v="10"/>
    <x v="12"/>
    <n v="44.7"/>
    <n v="178.8"/>
    <x v="47"/>
    <d v="2025-02-19T00:00:00"/>
    <s v="F"/>
    <x v="2"/>
    <x v="1"/>
    <x v="0"/>
    <x v="3"/>
    <x v="1"/>
    <x v="7"/>
    <x v="2"/>
  </r>
  <r>
    <x v="1212"/>
    <x v="12"/>
    <x v="1"/>
    <n v="64.099999999999994"/>
    <n v="128.19999999999999"/>
    <x v="47"/>
    <d v="2025-02-21T00:00:00"/>
    <s v="F"/>
    <x v="1"/>
    <x v="4"/>
    <x v="0"/>
    <x v="3"/>
    <x v="5"/>
    <x v="7"/>
    <x v="2"/>
  </r>
  <r>
    <x v="1213"/>
    <x v="8"/>
    <x v="0"/>
    <n v="15.9"/>
    <n v="15.9"/>
    <x v="47"/>
    <d v="2025-02-20T00:00:00"/>
    <s v=""/>
    <x v="1"/>
    <x v="0"/>
    <x v="0"/>
    <x v="3"/>
    <x v="2"/>
    <x v="7"/>
    <x v="0"/>
  </r>
  <r>
    <x v="1214"/>
    <x v="6"/>
    <x v="1"/>
    <n v="78.7"/>
    <n v="157.4"/>
    <x v="47"/>
    <d v="2025-02-17T00:00:00"/>
    <s v="F"/>
    <x v="2"/>
    <x v="1"/>
    <x v="0"/>
    <x v="3"/>
    <x v="7"/>
    <x v="7"/>
    <x v="2"/>
  </r>
  <r>
    <x v="1215"/>
    <x v="5"/>
    <x v="4"/>
    <n v="29.6"/>
    <n v="355.20000000000005"/>
    <x v="47"/>
    <d v="2025-02-21T00:00:00"/>
    <s v="M"/>
    <x v="2"/>
    <x v="4"/>
    <x v="0"/>
    <x v="3"/>
    <x v="5"/>
    <x v="7"/>
    <x v="1"/>
  </r>
  <r>
    <x v="1216"/>
    <x v="8"/>
    <x v="12"/>
    <n v="21.5"/>
    <n v="86"/>
    <x v="47"/>
    <d v="2025-02-20T00:00:00"/>
    <s v="M"/>
    <x v="1"/>
    <x v="0"/>
    <x v="0"/>
    <x v="3"/>
    <x v="2"/>
    <x v="7"/>
    <x v="1"/>
  </r>
  <r>
    <x v="1217"/>
    <x v="9"/>
    <x v="2"/>
    <n v="74.900000000000006"/>
    <n v="224.70000000000002"/>
    <x v="47"/>
    <d v="2025-02-26T00:00:00"/>
    <s v="M"/>
    <x v="3"/>
    <x v="1"/>
    <x v="0"/>
    <x v="3"/>
    <x v="8"/>
    <x v="7"/>
    <x v="1"/>
  </r>
  <r>
    <x v="1218"/>
    <x v="10"/>
    <x v="13"/>
    <n v="45"/>
    <n v="270"/>
    <x v="47"/>
    <d v="2025-02-22T00:00:00"/>
    <s v="F"/>
    <x v="2"/>
    <x v="0"/>
    <x v="0"/>
    <x v="3"/>
    <x v="0"/>
    <x v="7"/>
    <x v="2"/>
  </r>
  <r>
    <x v="1219"/>
    <x v="7"/>
    <x v="33"/>
    <n v="37.9"/>
    <n v="1288.5999999999999"/>
    <x v="47"/>
    <d v="2025-02-18T00:00:00"/>
    <s v="M"/>
    <x v="0"/>
    <x v="0"/>
    <x v="0"/>
    <x v="3"/>
    <x v="3"/>
    <x v="7"/>
    <x v="1"/>
  </r>
  <r>
    <x v="1220"/>
    <x v="6"/>
    <x v="2"/>
    <n v="56.6"/>
    <n v="169.8"/>
    <x v="47"/>
    <d v="2025-02-18T00:00:00"/>
    <s v="M"/>
    <x v="3"/>
    <x v="0"/>
    <x v="0"/>
    <x v="3"/>
    <x v="3"/>
    <x v="7"/>
    <x v="1"/>
  </r>
  <r>
    <x v="1221"/>
    <x v="3"/>
    <x v="15"/>
    <n v="84.5"/>
    <n v="1098.5"/>
    <x v="47"/>
    <d v="2025-02-20T00:00:00"/>
    <s v="F"/>
    <x v="1"/>
    <x v="4"/>
    <x v="0"/>
    <x v="3"/>
    <x v="2"/>
    <x v="7"/>
    <x v="2"/>
  </r>
  <r>
    <x v="1222"/>
    <x v="2"/>
    <x v="9"/>
    <n v="105.4"/>
    <n v="527"/>
    <x v="47"/>
    <d v="2025-02-19T00:00:00"/>
    <s v="F"/>
    <x v="1"/>
    <x v="1"/>
    <x v="0"/>
    <x v="3"/>
    <x v="1"/>
    <x v="7"/>
    <x v="2"/>
  </r>
  <r>
    <x v="1223"/>
    <x v="18"/>
    <x v="3"/>
    <n v="39.4"/>
    <n v="275.8"/>
    <x v="48"/>
    <d v="2025-02-18T00:00:00"/>
    <s v="M"/>
    <x v="1"/>
    <x v="0"/>
    <x v="0"/>
    <x v="37"/>
    <x v="7"/>
    <x v="7"/>
    <x v="1"/>
  </r>
  <r>
    <x v="1224"/>
    <x v="19"/>
    <x v="2"/>
    <n v="38"/>
    <n v="114"/>
    <x v="48"/>
    <d v="2025-02-21T00:00:00"/>
    <s v="M"/>
    <x v="4"/>
    <x v="1"/>
    <x v="0"/>
    <x v="6"/>
    <x v="2"/>
    <x v="7"/>
    <x v="1"/>
  </r>
  <r>
    <x v="1225"/>
    <x v="17"/>
    <x v="12"/>
    <n v="42.5"/>
    <n v="170"/>
    <x v="48"/>
    <d v="2025-02-20T00:00:00"/>
    <s v=""/>
    <x v="0"/>
    <x v="0"/>
    <x v="0"/>
    <x v="6"/>
    <x v="1"/>
    <x v="7"/>
    <x v="0"/>
  </r>
  <r>
    <x v="1226"/>
    <x v="15"/>
    <x v="0"/>
    <n v="62.3"/>
    <n v="62.3"/>
    <x v="48"/>
    <d v="2025-02-27T00:00:00"/>
    <s v="M"/>
    <x v="0"/>
    <x v="2"/>
    <x v="0"/>
    <x v="6"/>
    <x v="8"/>
    <x v="7"/>
    <x v="1"/>
  </r>
  <r>
    <x v="1227"/>
    <x v="6"/>
    <x v="9"/>
    <n v="49.1"/>
    <n v="245.5"/>
    <x v="48"/>
    <d v="2025-02-20T00:00:00"/>
    <s v="F"/>
    <x v="1"/>
    <x v="2"/>
    <x v="0"/>
    <x v="7"/>
    <x v="1"/>
    <x v="7"/>
    <x v="2"/>
  </r>
  <r>
    <x v="1228"/>
    <x v="3"/>
    <x v="1"/>
    <n v="30.5"/>
    <n v="61"/>
    <x v="48"/>
    <d v="2025-02-21T00:00:00"/>
    <s v="M"/>
    <x v="0"/>
    <x v="2"/>
    <x v="0"/>
    <x v="8"/>
    <x v="2"/>
    <x v="7"/>
    <x v="1"/>
  </r>
  <r>
    <x v="1229"/>
    <x v="2"/>
    <x v="1"/>
    <n v="154.80000000000001"/>
    <n v="309.60000000000002"/>
    <x v="48"/>
    <d v="2025-02-21T00:00:00"/>
    <s v="F"/>
    <x v="1"/>
    <x v="4"/>
    <x v="0"/>
    <x v="8"/>
    <x v="2"/>
    <x v="7"/>
    <x v="2"/>
  </r>
  <r>
    <x v="1230"/>
    <x v="6"/>
    <x v="0"/>
    <n v="45"/>
    <n v="45"/>
    <x v="48"/>
    <d v="2025-02-22T00:00:00"/>
    <s v="M"/>
    <x v="3"/>
    <x v="1"/>
    <x v="0"/>
    <x v="8"/>
    <x v="5"/>
    <x v="7"/>
    <x v="1"/>
  </r>
  <r>
    <x v="1231"/>
    <x v="0"/>
    <x v="3"/>
    <n v="15.3"/>
    <n v="107.10000000000001"/>
    <x v="48"/>
    <d v="2025-02-19T00:00:00"/>
    <s v="M"/>
    <x v="0"/>
    <x v="2"/>
    <x v="0"/>
    <x v="8"/>
    <x v="3"/>
    <x v="7"/>
    <x v="1"/>
  </r>
  <r>
    <x v="1232"/>
    <x v="2"/>
    <x v="5"/>
    <n v="88.6"/>
    <n v="974.59999999999991"/>
    <x v="48"/>
    <d v="2025-02-21T00:00:00"/>
    <s v="F"/>
    <x v="0"/>
    <x v="4"/>
    <x v="0"/>
    <x v="17"/>
    <x v="2"/>
    <x v="7"/>
    <x v="2"/>
  </r>
  <r>
    <x v="1233"/>
    <x v="9"/>
    <x v="1"/>
    <n v="49.7"/>
    <n v="99.4"/>
    <x v="48"/>
    <d v="2025-02-20T00:00:00"/>
    <s v="O"/>
    <x v="4"/>
    <x v="0"/>
    <x v="0"/>
    <x v="10"/>
    <x v="1"/>
    <x v="7"/>
    <x v="3"/>
  </r>
  <r>
    <x v="1234"/>
    <x v="10"/>
    <x v="0"/>
    <n v="29"/>
    <n v="29"/>
    <x v="48"/>
    <d v="2025-02-19T00:00:00"/>
    <s v="M"/>
    <x v="0"/>
    <x v="0"/>
    <x v="0"/>
    <x v="11"/>
    <x v="3"/>
    <x v="7"/>
    <x v="1"/>
  </r>
  <r>
    <x v="1235"/>
    <x v="1"/>
    <x v="0"/>
    <n v="60.7"/>
    <n v="60.7"/>
    <x v="48"/>
    <d v="2025-02-19T00:00:00"/>
    <s v="O"/>
    <x v="0"/>
    <x v="1"/>
    <x v="0"/>
    <x v="11"/>
    <x v="3"/>
    <x v="7"/>
    <x v="3"/>
  </r>
  <r>
    <x v="1236"/>
    <x v="17"/>
    <x v="12"/>
    <n v="87.4"/>
    <n v="349.6"/>
    <x v="48"/>
    <d v="2025-02-20T00:00:00"/>
    <s v=""/>
    <x v="0"/>
    <x v="0"/>
    <x v="0"/>
    <x v="11"/>
    <x v="1"/>
    <x v="7"/>
    <x v="0"/>
  </r>
  <r>
    <x v="1237"/>
    <x v="4"/>
    <x v="3"/>
    <n v="44.5"/>
    <n v="311.5"/>
    <x v="48"/>
    <d v="2025-02-22T00:00:00"/>
    <s v="F"/>
    <x v="2"/>
    <x v="2"/>
    <x v="0"/>
    <x v="19"/>
    <x v="5"/>
    <x v="7"/>
    <x v="2"/>
  </r>
  <r>
    <x v="1238"/>
    <x v="2"/>
    <x v="0"/>
    <n v="141"/>
    <n v="141"/>
    <x v="48"/>
    <d v="2025-02-19T00:00:00"/>
    <s v="M"/>
    <x v="4"/>
    <x v="2"/>
    <x v="0"/>
    <x v="19"/>
    <x v="3"/>
    <x v="7"/>
    <x v="1"/>
  </r>
  <r>
    <x v="1239"/>
    <x v="0"/>
    <x v="2"/>
    <n v="16.7"/>
    <n v="50.099999999999994"/>
    <x v="48"/>
    <d v="2025-02-26T00:00:00"/>
    <s v="F"/>
    <x v="0"/>
    <x v="0"/>
    <x v="0"/>
    <x v="20"/>
    <x v="9"/>
    <x v="7"/>
    <x v="2"/>
  </r>
  <r>
    <x v="1240"/>
    <x v="1"/>
    <x v="1"/>
    <n v="77.5"/>
    <n v="155"/>
    <x v="48"/>
    <d v="2025-02-19T00:00:00"/>
    <s v=""/>
    <x v="2"/>
    <x v="2"/>
    <x v="0"/>
    <x v="13"/>
    <x v="3"/>
    <x v="7"/>
    <x v="0"/>
  </r>
  <r>
    <x v="1241"/>
    <x v="2"/>
    <x v="1"/>
    <n v="163"/>
    <n v="326"/>
    <x v="48"/>
    <d v="2025-02-24T00:00:00"/>
    <s v="F"/>
    <x v="4"/>
    <x v="0"/>
    <x v="0"/>
    <x v="21"/>
    <x v="4"/>
    <x v="7"/>
    <x v="2"/>
  </r>
  <r>
    <x v="1242"/>
    <x v="4"/>
    <x v="11"/>
    <n v="21.4"/>
    <n v="192.6"/>
    <x v="48"/>
    <d v="2025-02-21T00:00:00"/>
    <s v="F"/>
    <x v="0"/>
    <x v="0"/>
    <x v="0"/>
    <x v="51"/>
    <x v="2"/>
    <x v="7"/>
    <x v="2"/>
  </r>
  <r>
    <x v="1243"/>
    <x v="10"/>
    <x v="5"/>
    <n v="31"/>
    <n v="341"/>
    <x v="48"/>
    <d v="2025-02-20T00:00:00"/>
    <s v="F"/>
    <x v="3"/>
    <x v="2"/>
    <x v="0"/>
    <x v="1"/>
    <x v="1"/>
    <x v="7"/>
    <x v="2"/>
  </r>
  <r>
    <x v="1244"/>
    <x v="7"/>
    <x v="1"/>
    <n v="34.299999999999997"/>
    <n v="68.599999999999994"/>
    <x v="48"/>
    <d v="2025-02-20T00:00:00"/>
    <s v="F"/>
    <x v="0"/>
    <x v="3"/>
    <x v="0"/>
    <x v="1"/>
    <x v="1"/>
    <x v="7"/>
    <x v="2"/>
  </r>
  <r>
    <x v="1245"/>
    <x v="17"/>
    <x v="9"/>
    <n v="48.2"/>
    <n v="241"/>
    <x v="48"/>
    <d v="2025-02-19T00:00:00"/>
    <s v="M"/>
    <x v="1"/>
    <x v="1"/>
    <x v="0"/>
    <x v="2"/>
    <x v="3"/>
    <x v="7"/>
    <x v="1"/>
  </r>
  <r>
    <x v="1246"/>
    <x v="10"/>
    <x v="0"/>
    <n v="51.4"/>
    <n v="51.4"/>
    <x v="48"/>
    <d v="2025-02-19T00:00:00"/>
    <s v="M"/>
    <x v="0"/>
    <x v="0"/>
    <x v="0"/>
    <x v="3"/>
    <x v="3"/>
    <x v="7"/>
    <x v="1"/>
  </r>
  <r>
    <x v="1247"/>
    <x v="2"/>
    <x v="9"/>
    <n v="117.2"/>
    <n v="586"/>
    <x v="48"/>
    <d v="2025-02-21T00:00:00"/>
    <s v="F"/>
    <x v="4"/>
    <x v="4"/>
    <x v="0"/>
    <x v="3"/>
    <x v="2"/>
    <x v="7"/>
    <x v="2"/>
  </r>
  <r>
    <x v="1248"/>
    <x v="8"/>
    <x v="0"/>
    <n v="38.1"/>
    <n v="38.1"/>
    <x v="48"/>
    <d v="2025-02-18T00:00:00"/>
    <s v="M"/>
    <x v="4"/>
    <x v="1"/>
    <x v="0"/>
    <x v="3"/>
    <x v="7"/>
    <x v="7"/>
    <x v="1"/>
  </r>
  <r>
    <x v="1249"/>
    <x v="0"/>
    <x v="1"/>
    <n v="44.1"/>
    <n v="88.2"/>
    <x v="48"/>
    <d v="2025-02-20T00:00:00"/>
    <s v="F"/>
    <x v="2"/>
    <x v="0"/>
    <x v="0"/>
    <x v="3"/>
    <x v="1"/>
    <x v="7"/>
    <x v="2"/>
  </r>
  <r>
    <x v="1250"/>
    <x v="15"/>
    <x v="12"/>
    <n v="80.5"/>
    <n v="322"/>
    <x v="48"/>
    <d v="2025-02-23T00:00:00"/>
    <s v="M"/>
    <x v="0"/>
    <x v="0"/>
    <x v="0"/>
    <x v="3"/>
    <x v="0"/>
    <x v="7"/>
    <x v="1"/>
  </r>
  <r>
    <x v="1251"/>
    <x v="18"/>
    <x v="12"/>
    <n v="33.6"/>
    <n v="134.4"/>
    <x v="48"/>
    <d v="2025-02-23T00:00:00"/>
    <s v=""/>
    <x v="0"/>
    <x v="2"/>
    <x v="0"/>
    <x v="3"/>
    <x v="0"/>
    <x v="7"/>
    <x v="0"/>
  </r>
  <r>
    <x v="1252"/>
    <x v="9"/>
    <x v="11"/>
    <n v="41.8"/>
    <n v="376.2"/>
    <x v="48"/>
    <d v="2025-02-19T00:00:00"/>
    <s v="F"/>
    <x v="0"/>
    <x v="1"/>
    <x v="0"/>
    <x v="3"/>
    <x v="3"/>
    <x v="7"/>
    <x v="2"/>
  </r>
  <r>
    <x v="1253"/>
    <x v="1"/>
    <x v="1"/>
    <n v="106.2"/>
    <n v="212.4"/>
    <x v="48"/>
    <d v="2025-02-18T00:00:00"/>
    <s v="F"/>
    <x v="4"/>
    <x v="2"/>
    <x v="0"/>
    <x v="3"/>
    <x v="7"/>
    <x v="7"/>
    <x v="2"/>
  </r>
  <r>
    <x v="1254"/>
    <x v="1"/>
    <x v="1"/>
    <n v="52.6"/>
    <n v="105.2"/>
    <x v="48"/>
    <d v="2025-02-19T00:00:00"/>
    <s v="F"/>
    <x v="0"/>
    <x v="2"/>
    <x v="0"/>
    <x v="5"/>
    <x v="3"/>
    <x v="7"/>
    <x v="2"/>
  </r>
  <r>
    <x v="1255"/>
    <x v="11"/>
    <x v="3"/>
    <n v="68.5"/>
    <n v="479.5"/>
    <x v="48"/>
    <d v="2025-02-19T00:00:00"/>
    <s v="F"/>
    <x v="1"/>
    <x v="0"/>
    <x v="0"/>
    <x v="5"/>
    <x v="3"/>
    <x v="7"/>
    <x v="2"/>
  </r>
  <r>
    <x v="1256"/>
    <x v="1"/>
    <x v="1"/>
    <n v="55.6"/>
    <n v="111.2"/>
    <x v="48"/>
    <d v="2025-02-20T00:00:00"/>
    <s v="M"/>
    <x v="1"/>
    <x v="2"/>
    <x v="0"/>
    <x v="6"/>
    <x v="1"/>
    <x v="7"/>
    <x v="1"/>
  </r>
  <r>
    <x v="1257"/>
    <x v="2"/>
    <x v="2"/>
    <n v="134.9"/>
    <n v="404.70000000000005"/>
    <x v="48"/>
    <d v="2025-02-19T00:00:00"/>
    <s v="M"/>
    <x v="1"/>
    <x v="1"/>
    <x v="0"/>
    <x v="6"/>
    <x v="3"/>
    <x v="7"/>
    <x v="1"/>
  </r>
  <r>
    <x v="1258"/>
    <x v="10"/>
    <x v="9"/>
    <n v="42.6"/>
    <n v="213"/>
    <x v="48"/>
    <d v="2025-02-19T00:00:00"/>
    <s v="M"/>
    <x v="0"/>
    <x v="0"/>
    <x v="0"/>
    <x v="6"/>
    <x v="3"/>
    <x v="7"/>
    <x v="1"/>
  </r>
  <r>
    <x v="1259"/>
    <x v="7"/>
    <x v="9"/>
    <n v="60.6"/>
    <n v="303"/>
    <x v="48"/>
    <d v="2025-02-20T00:00:00"/>
    <s v="M"/>
    <x v="4"/>
    <x v="0"/>
    <x v="0"/>
    <x v="6"/>
    <x v="1"/>
    <x v="7"/>
    <x v="1"/>
  </r>
  <r>
    <x v="1260"/>
    <x v="8"/>
    <x v="1"/>
    <n v="43.5"/>
    <n v="87"/>
    <x v="48"/>
    <d v="2025-02-19T00:00:00"/>
    <s v="M"/>
    <x v="4"/>
    <x v="0"/>
    <x v="0"/>
    <x v="7"/>
    <x v="3"/>
    <x v="7"/>
    <x v="1"/>
  </r>
  <r>
    <x v="1261"/>
    <x v="2"/>
    <x v="1"/>
    <n v="187.1"/>
    <n v="374.2"/>
    <x v="48"/>
    <d v="2025-02-19T00:00:00"/>
    <s v="M"/>
    <x v="1"/>
    <x v="2"/>
    <x v="0"/>
    <x v="8"/>
    <x v="3"/>
    <x v="7"/>
    <x v="1"/>
  </r>
  <r>
    <x v="1262"/>
    <x v="9"/>
    <x v="2"/>
    <n v="32"/>
    <n v="96"/>
    <x v="48"/>
    <d v="2025-02-20T00:00:00"/>
    <s v="M"/>
    <x v="0"/>
    <x v="0"/>
    <x v="0"/>
    <x v="8"/>
    <x v="1"/>
    <x v="7"/>
    <x v="1"/>
  </r>
  <r>
    <x v="1263"/>
    <x v="9"/>
    <x v="1"/>
    <n v="110.8"/>
    <n v="221.6"/>
    <x v="48"/>
    <d v="2025-02-18T00:00:00"/>
    <s v="M"/>
    <x v="0"/>
    <x v="2"/>
    <x v="0"/>
    <x v="8"/>
    <x v="7"/>
    <x v="7"/>
    <x v="1"/>
  </r>
  <r>
    <x v="1264"/>
    <x v="10"/>
    <x v="15"/>
    <n v="36.1"/>
    <n v="469.3"/>
    <x v="48"/>
    <d v="2025-02-21T00:00:00"/>
    <s v="F"/>
    <x v="0"/>
    <x v="1"/>
    <x v="0"/>
    <x v="8"/>
    <x v="2"/>
    <x v="7"/>
    <x v="2"/>
  </r>
  <r>
    <x v="1265"/>
    <x v="0"/>
    <x v="0"/>
    <n v="24.1"/>
    <n v="24.1"/>
    <x v="48"/>
    <d v="2025-02-20T00:00:00"/>
    <s v="F"/>
    <x v="4"/>
    <x v="2"/>
    <x v="0"/>
    <x v="8"/>
    <x v="1"/>
    <x v="7"/>
    <x v="2"/>
  </r>
  <r>
    <x v="1266"/>
    <x v="19"/>
    <x v="2"/>
    <n v="30.5"/>
    <n v="91.5"/>
    <x v="48"/>
    <d v="2025-02-20T00:00:00"/>
    <s v="M"/>
    <x v="1"/>
    <x v="0"/>
    <x v="0"/>
    <x v="8"/>
    <x v="1"/>
    <x v="7"/>
    <x v="1"/>
  </r>
  <r>
    <x v="1267"/>
    <x v="18"/>
    <x v="13"/>
    <n v="68.3"/>
    <n v="409.79999999999995"/>
    <x v="48"/>
    <d v="2025-02-21T00:00:00"/>
    <s v="M"/>
    <x v="0"/>
    <x v="0"/>
    <x v="0"/>
    <x v="8"/>
    <x v="2"/>
    <x v="7"/>
    <x v="1"/>
  </r>
  <r>
    <x v="1268"/>
    <x v="7"/>
    <x v="2"/>
    <n v="43.3"/>
    <n v="129.89999999999998"/>
    <x v="48"/>
    <d v="2025-02-22T00:00:00"/>
    <s v="F"/>
    <x v="0"/>
    <x v="0"/>
    <x v="0"/>
    <x v="17"/>
    <x v="5"/>
    <x v="7"/>
    <x v="2"/>
  </r>
  <r>
    <x v="1269"/>
    <x v="3"/>
    <x v="0"/>
    <n v="101.7"/>
    <n v="101.7"/>
    <x v="48"/>
    <d v="2025-02-21T00:00:00"/>
    <s v="F"/>
    <x v="0"/>
    <x v="1"/>
    <x v="0"/>
    <x v="17"/>
    <x v="2"/>
    <x v="7"/>
    <x v="2"/>
  </r>
  <r>
    <x v="1270"/>
    <x v="11"/>
    <x v="1"/>
    <n v="54.2"/>
    <n v="108.4"/>
    <x v="48"/>
    <d v="2025-02-19T00:00:00"/>
    <s v="F"/>
    <x v="0"/>
    <x v="1"/>
    <x v="0"/>
    <x v="17"/>
    <x v="3"/>
    <x v="7"/>
    <x v="2"/>
  </r>
  <r>
    <x v="1271"/>
    <x v="16"/>
    <x v="1"/>
    <n v="51"/>
    <n v="102"/>
    <x v="48"/>
    <d v="2025-02-18T00:00:00"/>
    <s v="M"/>
    <x v="1"/>
    <x v="0"/>
    <x v="0"/>
    <x v="26"/>
    <x v="7"/>
    <x v="7"/>
    <x v="1"/>
  </r>
  <r>
    <x v="1272"/>
    <x v="4"/>
    <x v="1"/>
    <n v="23.1"/>
    <n v="46.2"/>
    <x v="48"/>
    <d v="2025-02-21T00:00:00"/>
    <s v="M"/>
    <x v="1"/>
    <x v="0"/>
    <x v="0"/>
    <x v="10"/>
    <x v="2"/>
    <x v="7"/>
    <x v="1"/>
  </r>
  <r>
    <x v="1273"/>
    <x v="12"/>
    <x v="13"/>
    <n v="60.1"/>
    <n v="360.6"/>
    <x v="48"/>
    <d v="2025-02-18T00:00:00"/>
    <s v="F"/>
    <x v="3"/>
    <x v="0"/>
    <x v="0"/>
    <x v="11"/>
    <x v="7"/>
    <x v="7"/>
    <x v="2"/>
  </r>
  <r>
    <x v="1274"/>
    <x v="2"/>
    <x v="3"/>
    <n v="87.5"/>
    <n v="612.5"/>
    <x v="48"/>
    <d v="2025-02-20T00:00:00"/>
    <s v="F"/>
    <x v="0"/>
    <x v="1"/>
    <x v="0"/>
    <x v="11"/>
    <x v="1"/>
    <x v="7"/>
    <x v="2"/>
  </r>
  <r>
    <x v="1275"/>
    <x v="1"/>
    <x v="2"/>
    <n v="51"/>
    <n v="153"/>
    <x v="48"/>
    <d v="2025-02-19T00:00:00"/>
    <s v="F"/>
    <x v="1"/>
    <x v="0"/>
    <x v="0"/>
    <x v="11"/>
    <x v="3"/>
    <x v="7"/>
    <x v="2"/>
  </r>
  <r>
    <x v="1276"/>
    <x v="8"/>
    <x v="12"/>
    <n v="19.2"/>
    <n v="76.8"/>
    <x v="48"/>
    <d v="2025-02-20T00:00:00"/>
    <s v="F"/>
    <x v="0"/>
    <x v="0"/>
    <x v="0"/>
    <x v="11"/>
    <x v="1"/>
    <x v="7"/>
    <x v="2"/>
  </r>
  <r>
    <x v="1277"/>
    <x v="5"/>
    <x v="8"/>
    <n v="26.5"/>
    <n v="212"/>
    <x v="48"/>
    <d v="2025-02-19T00:00:00"/>
    <s v=""/>
    <x v="3"/>
    <x v="2"/>
    <x v="0"/>
    <x v="11"/>
    <x v="3"/>
    <x v="7"/>
    <x v="0"/>
  </r>
  <r>
    <x v="1278"/>
    <x v="2"/>
    <x v="1"/>
    <n v="220.3"/>
    <n v="440.6"/>
    <x v="48"/>
    <d v="2025-02-19T00:00:00"/>
    <s v="F"/>
    <x v="1"/>
    <x v="4"/>
    <x v="0"/>
    <x v="53"/>
    <x v="3"/>
    <x v="7"/>
    <x v="2"/>
  </r>
  <r>
    <x v="1279"/>
    <x v="8"/>
    <x v="2"/>
    <n v="45.7"/>
    <n v="137.10000000000002"/>
    <x v="48"/>
    <d v="2025-02-19T00:00:00"/>
    <s v="F"/>
    <x v="4"/>
    <x v="0"/>
    <x v="0"/>
    <x v="30"/>
    <x v="3"/>
    <x v="7"/>
    <x v="2"/>
  </r>
  <r>
    <x v="1280"/>
    <x v="5"/>
    <x v="9"/>
    <n v="47.1"/>
    <n v="235.5"/>
    <x v="48"/>
    <d v="2025-02-22T00:00:00"/>
    <s v="F"/>
    <x v="3"/>
    <x v="0"/>
    <x v="0"/>
    <x v="13"/>
    <x v="5"/>
    <x v="7"/>
    <x v="2"/>
  </r>
  <r>
    <x v="1281"/>
    <x v="1"/>
    <x v="9"/>
    <n v="81.7"/>
    <n v="408.5"/>
    <x v="48"/>
    <d v="2025-02-19T00:00:00"/>
    <s v="F"/>
    <x v="0"/>
    <x v="2"/>
    <x v="0"/>
    <x v="21"/>
    <x v="3"/>
    <x v="7"/>
    <x v="2"/>
  </r>
  <r>
    <x v="1282"/>
    <x v="6"/>
    <x v="7"/>
    <n v="97.8"/>
    <n v="978"/>
    <x v="48"/>
    <d v="2025-02-18T00:00:00"/>
    <s v="M"/>
    <x v="1"/>
    <x v="1"/>
    <x v="0"/>
    <x v="21"/>
    <x v="7"/>
    <x v="7"/>
    <x v="1"/>
  </r>
  <r>
    <x v="1283"/>
    <x v="6"/>
    <x v="2"/>
    <n v="42.4"/>
    <n v="127.19999999999999"/>
    <x v="48"/>
    <d v="2025-02-19T00:00:00"/>
    <s v="F"/>
    <x v="0"/>
    <x v="2"/>
    <x v="0"/>
    <x v="54"/>
    <x v="3"/>
    <x v="7"/>
    <x v="2"/>
  </r>
  <r>
    <x v="1284"/>
    <x v="2"/>
    <x v="7"/>
    <n v="74.5"/>
    <n v="745"/>
    <x v="48"/>
    <d v="2025-02-19T00:00:00"/>
    <s v="M"/>
    <x v="2"/>
    <x v="1"/>
    <x v="0"/>
    <x v="1"/>
    <x v="3"/>
    <x v="7"/>
    <x v="1"/>
  </r>
  <r>
    <x v="1285"/>
    <x v="17"/>
    <x v="13"/>
    <n v="47.4"/>
    <n v="284.39999999999998"/>
    <x v="48"/>
    <d v="2025-02-19T00:00:00"/>
    <s v="M"/>
    <x v="1"/>
    <x v="0"/>
    <x v="0"/>
    <x v="1"/>
    <x v="3"/>
    <x v="7"/>
    <x v="1"/>
  </r>
  <r>
    <x v="1286"/>
    <x v="14"/>
    <x v="2"/>
    <n v="17.3"/>
    <n v="51.900000000000006"/>
    <x v="49"/>
    <d v="2025-02-22T00:00:00"/>
    <s v="M"/>
    <x v="2"/>
    <x v="2"/>
    <x v="0"/>
    <x v="1"/>
    <x v="2"/>
    <x v="7"/>
    <x v="1"/>
  </r>
  <r>
    <x v="1287"/>
    <x v="12"/>
    <x v="12"/>
    <n v="77.900000000000006"/>
    <n v="311.60000000000002"/>
    <x v="49"/>
    <d v="2025-02-20T00:00:00"/>
    <s v="M"/>
    <x v="1"/>
    <x v="0"/>
    <x v="0"/>
    <x v="2"/>
    <x v="3"/>
    <x v="7"/>
    <x v="1"/>
  </r>
  <r>
    <x v="1288"/>
    <x v="8"/>
    <x v="0"/>
    <n v="29.1"/>
    <n v="29.1"/>
    <x v="49"/>
    <d v="2025-02-22T00:00:00"/>
    <s v="M"/>
    <x v="0"/>
    <x v="2"/>
    <x v="0"/>
    <x v="50"/>
    <x v="2"/>
    <x v="7"/>
    <x v="1"/>
  </r>
  <r>
    <x v="1289"/>
    <x v="8"/>
    <x v="0"/>
    <n v="49"/>
    <n v="49"/>
    <x v="49"/>
    <d v="2025-02-20T00:00:00"/>
    <s v="M"/>
    <x v="1"/>
    <x v="0"/>
    <x v="0"/>
    <x v="3"/>
    <x v="3"/>
    <x v="7"/>
    <x v="1"/>
  </r>
  <r>
    <x v="1290"/>
    <x v="8"/>
    <x v="13"/>
    <n v="21.1"/>
    <n v="126.60000000000001"/>
    <x v="49"/>
    <d v="2025-02-26T00:00:00"/>
    <s v="M"/>
    <x v="0"/>
    <x v="2"/>
    <x v="0"/>
    <x v="3"/>
    <x v="6"/>
    <x v="7"/>
    <x v="1"/>
  </r>
  <r>
    <x v="1291"/>
    <x v="4"/>
    <x v="10"/>
    <n v="36.9"/>
    <n v="701.1"/>
    <x v="49"/>
    <d v="2025-02-19T00:00:00"/>
    <s v="F"/>
    <x v="0"/>
    <x v="0"/>
    <x v="0"/>
    <x v="3"/>
    <x v="7"/>
    <x v="7"/>
    <x v="2"/>
  </r>
  <r>
    <x v="1292"/>
    <x v="1"/>
    <x v="7"/>
    <n v="92.6"/>
    <n v="926"/>
    <x v="49"/>
    <d v="2025-02-24T00:00:00"/>
    <s v="M"/>
    <x v="4"/>
    <x v="2"/>
    <x v="0"/>
    <x v="3"/>
    <x v="0"/>
    <x v="7"/>
    <x v="1"/>
  </r>
  <r>
    <x v="1293"/>
    <x v="10"/>
    <x v="1"/>
    <n v="38"/>
    <n v="76"/>
    <x v="49"/>
    <d v="2025-02-20T00:00:00"/>
    <s v="M"/>
    <x v="1"/>
    <x v="1"/>
    <x v="0"/>
    <x v="3"/>
    <x v="3"/>
    <x v="7"/>
    <x v="1"/>
  </r>
  <r>
    <x v="1294"/>
    <x v="5"/>
    <x v="2"/>
    <n v="54.8"/>
    <n v="164.39999999999998"/>
    <x v="49"/>
    <d v="2025-02-23T00:00:00"/>
    <s v=""/>
    <x v="0"/>
    <x v="1"/>
    <x v="0"/>
    <x v="3"/>
    <x v="5"/>
    <x v="7"/>
    <x v="0"/>
  </r>
  <r>
    <x v="1295"/>
    <x v="10"/>
    <x v="4"/>
    <n v="56.8"/>
    <n v="681.59999999999991"/>
    <x v="49"/>
    <d v="2025-02-21T00:00:00"/>
    <s v="M"/>
    <x v="1"/>
    <x v="0"/>
    <x v="0"/>
    <x v="3"/>
    <x v="1"/>
    <x v="7"/>
    <x v="1"/>
  </r>
  <r>
    <x v="1296"/>
    <x v="11"/>
    <x v="40"/>
    <n v="47.2"/>
    <n v="1557.6000000000001"/>
    <x v="49"/>
    <d v="2025-02-22T00:00:00"/>
    <s v="F"/>
    <x v="1"/>
    <x v="0"/>
    <x v="0"/>
    <x v="3"/>
    <x v="2"/>
    <x v="7"/>
    <x v="2"/>
  </r>
  <r>
    <x v="1297"/>
    <x v="7"/>
    <x v="13"/>
    <n v="45.1"/>
    <n v="270.60000000000002"/>
    <x v="49"/>
    <d v="2025-02-20T00:00:00"/>
    <s v="F"/>
    <x v="2"/>
    <x v="0"/>
    <x v="0"/>
    <x v="43"/>
    <x v="3"/>
    <x v="7"/>
    <x v="2"/>
  </r>
  <r>
    <x v="1298"/>
    <x v="4"/>
    <x v="4"/>
    <n v="25.2"/>
    <n v="302.39999999999998"/>
    <x v="49"/>
    <d v="2025-02-24T00:00:00"/>
    <s v="F"/>
    <x v="2"/>
    <x v="0"/>
    <x v="0"/>
    <x v="16"/>
    <x v="0"/>
    <x v="7"/>
    <x v="2"/>
  </r>
  <r>
    <x v="1299"/>
    <x v="8"/>
    <x v="0"/>
    <n v="22"/>
    <n v="22"/>
    <x v="49"/>
    <d v="2025-02-20T00:00:00"/>
    <s v="F"/>
    <x v="0"/>
    <x v="0"/>
    <x v="0"/>
    <x v="5"/>
    <x v="3"/>
    <x v="7"/>
    <x v="2"/>
  </r>
  <r>
    <x v="1300"/>
    <x v="6"/>
    <x v="1"/>
    <n v="42.2"/>
    <n v="84.4"/>
    <x v="49"/>
    <d v="2025-02-20T00:00:00"/>
    <s v="F"/>
    <x v="1"/>
    <x v="1"/>
    <x v="0"/>
    <x v="23"/>
    <x v="3"/>
    <x v="7"/>
    <x v="2"/>
  </r>
  <r>
    <x v="1301"/>
    <x v="13"/>
    <x v="2"/>
    <n v="20.5"/>
    <n v="61.5"/>
    <x v="49"/>
    <d v="2025-02-20T00:00:00"/>
    <s v="M"/>
    <x v="0"/>
    <x v="1"/>
    <x v="0"/>
    <x v="6"/>
    <x v="3"/>
    <x v="7"/>
    <x v="1"/>
  </r>
  <r>
    <x v="1302"/>
    <x v="2"/>
    <x v="0"/>
    <n v="190.4"/>
    <n v="190.4"/>
    <x v="49"/>
    <d v="2025-02-24T00:00:00"/>
    <s v="M"/>
    <x v="1"/>
    <x v="4"/>
    <x v="0"/>
    <x v="6"/>
    <x v="0"/>
    <x v="7"/>
    <x v="1"/>
  </r>
  <r>
    <x v="1303"/>
    <x v="2"/>
    <x v="0"/>
    <n v="121.9"/>
    <n v="121.9"/>
    <x v="49"/>
    <d v="2025-02-21T00:00:00"/>
    <s v="F"/>
    <x v="1"/>
    <x v="2"/>
    <x v="0"/>
    <x v="6"/>
    <x v="1"/>
    <x v="7"/>
    <x v="2"/>
  </r>
  <r>
    <x v="1304"/>
    <x v="2"/>
    <x v="13"/>
    <n v="149.19999999999999"/>
    <n v="895.19999999999993"/>
    <x v="49"/>
    <d v="2025-02-20T00:00:00"/>
    <s v="F"/>
    <x v="2"/>
    <x v="2"/>
    <x v="0"/>
    <x v="7"/>
    <x v="3"/>
    <x v="7"/>
    <x v="2"/>
  </r>
  <r>
    <x v="1305"/>
    <x v="2"/>
    <x v="0"/>
    <n v="54.1"/>
    <n v="54.1"/>
    <x v="49"/>
    <d v="2025-02-28T00:00:00"/>
    <s v="F"/>
    <x v="2"/>
    <x v="2"/>
    <x v="0"/>
    <x v="7"/>
    <x v="8"/>
    <x v="7"/>
    <x v="2"/>
  </r>
  <r>
    <x v="1306"/>
    <x v="5"/>
    <x v="1"/>
    <n v="27.4"/>
    <n v="54.8"/>
    <x v="49"/>
    <d v="2025-02-21T00:00:00"/>
    <s v="M"/>
    <x v="1"/>
    <x v="0"/>
    <x v="0"/>
    <x v="8"/>
    <x v="1"/>
    <x v="7"/>
    <x v="1"/>
  </r>
  <r>
    <x v="1307"/>
    <x v="0"/>
    <x v="15"/>
    <n v="30.4"/>
    <n v="395.2"/>
    <x v="49"/>
    <d v="2025-02-20T00:00:00"/>
    <s v="F"/>
    <x v="0"/>
    <x v="2"/>
    <x v="0"/>
    <x v="8"/>
    <x v="3"/>
    <x v="7"/>
    <x v="2"/>
  </r>
  <r>
    <x v="1308"/>
    <x v="12"/>
    <x v="2"/>
    <n v="46.2"/>
    <n v="138.60000000000002"/>
    <x v="49"/>
    <d v="2025-02-21T00:00:00"/>
    <s v="M"/>
    <x v="2"/>
    <x v="1"/>
    <x v="0"/>
    <x v="17"/>
    <x v="1"/>
    <x v="7"/>
    <x v="1"/>
  </r>
  <r>
    <x v="1309"/>
    <x v="7"/>
    <x v="8"/>
    <n v="78.599999999999994"/>
    <n v="628.79999999999995"/>
    <x v="49"/>
    <d v="2025-02-23T00:00:00"/>
    <s v="M"/>
    <x v="3"/>
    <x v="0"/>
    <x v="0"/>
    <x v="17"/>
    <x v="5"/>
    <x v="7"/>
    <x v="1"/>
  </r>
  <r>
    <x v="1310"/>
    <x v="17"/>
    <x v="7"/>
    <n v="25.9"/>
    <n v="259"/>
    <x v="49"/>
    <d v="2025-02-25T00:00:00"/>
    <s v="M"/>
    <x v="4"/>
    <x v="0"/>
    <x v="0"/>
    <x v="9"/>
    <x v="4"/>
    <x v="7"/>
    <x v="1"/>
  </r>
  <r>
    <x v="1311"/>
    <x v="6"/>
    <x v="0"/>
    <n v="134.80000000000001"/>
    <n v="134.80000000000001"/>
    <x v="49"/>
    <d v="2025-02-21T00:00:00"/>
    <s v="M"/>
    <x v="2"/>
    <x v="2"/>
    <x v="0"/>
    <x v="9"/>
    <x v="1"/>
    <x v="7"/>
    <x v="1"/>
  </r>
  <r>
    <x v="1312"/>
    <x v="15"/>
    <x v="9"/>
    <n v="43.1"/>
    <n v="215.5"/>
    <x v="49"/>
    <d v="2025-02-21T00:00:00"/>
    <s v="F"/>
    <x v="0"/>
    <x v="0"/>
    <x v="0"/>
    <x v="11"/>
    <x v="1"/>
    <x v="7"/>
    <x v="2"/>
  </r>
  <r>
    <x v="1313"/>
    <x v="2"/>
    <x v="1"/>
    <n v="215.6"/>
    <n v="431.2"/>
    <x v="49"/>
    <d v="2025-02-20T00:00:00"/>
    <s v="F"/>
    <x v="2"/>
    <x v="0"/>
    <x v="0"/>
    <x v="18"/>
    <x v="3"/>
    <x v="7"/>
    <x v="2"/>
  </r>
  <r>
    <x v="1314"/>
    <x v="6"/>
    <x v="1"/>
    <n v="80.7"/>
    <n v="161.4"/>
    <x v="49"/>
    <d v="2025-02-22T00:00:00"/>
    <s v="F"/>
    <x v="3"/>
    <x v="0"/>
    <x v="0"/>
    <x v="18"/>
    <x v="2"/>
    <x v="7"/>
    <x v="2"/>
  </r>
  <r>
    <x v="1315"/>
    <x v="10"/>
    <x v="3"/>
    <n v="20.6"/>
    <n v="144.20000000000002"/>
    <x v="49"/>
    <d v="2025-02-24T00:00:00"/>
    <s v=""/>
    <x v="2"/>
    <x v="1"/>
    <x v="0"/>
    <x v="19"/>
    <x v="0"/>
    <x v="7"/>
    <x v="0"/>
  </r>
  <r>
    <x v="1316"/>
    <x v="12"/>
    <x v="2"/>
    <n v="37.1"/>
    <n v="111.30000000000001"/>
    <x v="49"/>
    <d v="2025-02-20T00:00:00"/>
    <s v="F"/>
    <x v="0"/>
    <x v="0"/>
    <x v="0"/>
    <x v="52"/>
    <x v="3"/>
    <x v="7"/>
    <x v="2"/>
  </r>
  <r>
    <x v="1317"/>
    <x v="12"/>
    <x v="0"/>
    <n v="104.8"/>
    <n v="104.8"/>
    <x v="50"/>
    <d v="2025-02-22T00:00:00"/>
    <s v="F"/>
    <x v="0"/>
    <x v="0"/>
    <x v="0"/>
    <x v="13"/>
    <x v="1"/>
    <x v="7"/>
    <x v="2"/>
  </r>
  <r>
    <x v="1318"/>
    <x v="8"/>
    <x v="1"/>
    <n v="59"/>
    <n v="118"/>
    <x v="50"/>
    <d v="2025-02-21T00:00:00"/>
    <s v="M"/>
    <x v="1"/>
    <x v="0"/>
    <x v="0"/>
    <x v="21"/>
    <x v="3"/>
    <x v="7"/>
    <x v="1"/>
  </r>
  <r>
    <x v="1319"/>
    <x v="8"/>
    <x v="1"/>
    <n v="32.299999999999997"/>
    <n v="64.599999999999994"/>
    <x v="50"/>
    <d v="2025-02-21T00:00:00"/>
    <s v="M"/>
    <x v="0"/>
    <x v="2"/>
    <x v="0"/>
    <x v="21"/>
    <x v="3"/>
    <x v="7"/>
    <x v="1"/>
  </r>
  <r>
    <x v="1320"/>
    <x v="8"/>
    <x v="12"/>
    <n v="28.9"/>
    <n v="115.6"/>
    <x v="50"/>
    <d v="2025-02-27T00:00:00"/>
    <s v="M"/>
    <x v="0"/>
    <x v="0"/>
    <x v="0"/>
    <x v="1"/>
    <x v="6"/>
    <x v="7"/>
    <x v="1"/>
  </r>
  <r>
    <x v="1321"/>
    <x v="0"/>
    <x v="1"/>
    <n v="29.6"/>
    <n v="59.2"/>
    <x v="50"/>
    <d v="2025-02-22T00:00:00"/>
    <s v="M"/>
    <x v="0"/>
    <x v="0"/>
    <x v="0"/>
    <x v="1"/>
    <x v="1"/>
    <x v="7"/>
    <x v="1"/>
  </r>
  <r>
    <x v="1322"/>
    <x v="0"/>
    <x v="9"/>
    <n v="29.4"/>
    <n v="147"/>
    <x v="50"/>
    <d v="2025-02-23T00:00:00"/>
    <s v="F"/>
    <x v="0"/>
    <x v="0"/>
    <x v="0"/>
    <x v="1"/>
    <x v="2"/>
    <x v="7"/>
    <x v="2"/>
  </r>
  <r>
    <x v="1323"/>
    <x v="1"/>
    <x v="1"/>
    <n v="40.6"/>
    <n v="81.2"/>
    <x v="50"/>
    <d v="2025-02-21T00:00:00"/>
    <s v="M"/>
    <x v="0"/>
    <x v="4"/>
    <x v="0"/>
    <x v="2"/>
    <x v="3"/>
    <x v="7"/>
    <x v="1"/>
  </r>
  <r>
    <x v="1324"/>
    <x v="0"/>
    <x v="2"/>
    <n v="32.5"/>
    <n v="97.5"/>
    <x v="50"/>
    <d v="2025-02-21T00:00:00"/>
    <s v="M"/>
    <x v="3"/>
    <x v="2"/>
    <x v="0"/>
    <x v="22"/>
    <x v="3"/>
    <x v="7"/>
    <x v="1"/>
  </r>
  <r>
    <x v="1325"/>
    <x v="15"/>
    <x v="0"/>
    <n v="26.2"/>
    <n v="26.2"/>
    <x v="50"/>
    <d v="2025-02-22T00:00:00"/>
    <s v="M"/>
    <x v="2"/>
    <x v="0"/>
    <x v="0"/>
    <x v="55"/>
    <x v="1"/>
    <x v="7"/>
    <x v="1"/>
  </r>
  <r>
    <x v="1326"/>
    <x v="10"/>
    <x v="17"/>
    <n v="44"/>
    <n v="1320"/>
    <x v="50"/>
    <d v="2025-02-26T00:00:00"/>
    <s v="M"/>
    <x v="4"/>
    <x v="0"/>
    <x v="0"/>
    <x v="3"/>
    <x v="4"/>
    <x v="7"/>
    <x v="1"/>
  </r>
  <r>
    <x v="1327"/>
    <x v="7"/>
    <x v="12"/>
    <n v="65.599999999999994"/>
    <n v="262.39999999999998"/>
    <x v="50"/>
    <d v="2025-02-21T00:00:00"/>
    <s v="F"/>
    <x v="1"/>
    <x v="1"/>
    <x v="0"/>
    <x v="3"/>
    <x v="3"/>
    <x v="7"/>
    <x v="2"/>
  </r>
  <r>
    <x v="1328"/>
    <x v="5"/>
    <x v="4"/>
    <n v="32.6"/>
    <n v="391.20000000000005"/>
    <x v="50"/>
    <d v="2025-02-21T00:00:00"/>
    <s v="M"/>
    <x v="4"/>
    <x v="0"/>
    <x v="0"/>
    <x v="3"/>
    <x v="3"/>
    <x v="7"/>
    <x v="1"/>
  </r>
  <r>
    <x v="1329"/>
    <x v="16"/>
    <x v="1"/>
    <n v="88.7"/>
    <n v="177.4"/>
    <x v="50"/>
    <d v="2025-02-21T00:00:00"/>
    <s v=""/>
    <x v="3"/>
    <x v="2"/>
    <x v="0"/>
    <x v="3"/>
    <x v="3"/>
    <x v="7"/>
    <x v="0"/>
  </r>
  <r>
    <x v="1330"/>
    <x v="4"/>
    <x v="1"/>
    <n v="21.3"/>
    <n v="42.6"/>
    <x v="50"/>
    <d v="2025-02-21T00:00:00"/>
    <s v="M"/>
    <x v="0"/>
    <x v="0"/>
    <x v="0"/>
    <x v="3"/>
    <x v="3"/>
    <x v="7"/>
    <x v="1"/>
  </r>
  <r>
    <x v="1331"/>
    <x v="4"/>
    <x v="13"/>
    <n v="50.6"/>
    <n v="303.60000000000002"/>
    <x v="50"/>
    <d v="2025-02-24T00:00:00"/>
    <s v="F"/>
    <x v="2"/>
    <x v="0"/>
    <x v="0"/>
    <x v="3"/>
    <x v="5"/>
    <x v="7"/>
    <x v="2"/>
  </r>
  <r>
    <x v="1332"/>
    <x v="9"/>
    <x v="38"/>
    <n v="86.9"/>
    <n v="1824.9"/>
    <x v="50"/>
    <d v="2025-02-23T00:00:00"/>
    <s v="F"/>
    <x v="0"/>
    <x v="1"/>
    <x v="0"/>
    <x v="3"/>
    <x v="2"/>
    <x v="7"/>
    <x v="2"/>
  </r>
  <r>
    <x v="1333"/>
    <x v="11"/>
    <x v="2"/>
    <n v="31.8"/>
    <n v="95.4"/>
    <x v="50"/>
    <d v="2025-02-22T00:00:00"/>
    <s v="M"/>
    <x v="0"/>
    <x v="2"/>
    <x v="0"/>
    <x v="3"/>
    <x v="1"/>
    <x v="7"/>
    <x v="1"/>
  </r>
  <r>
    <x v="1334"/>
    <x v="8"/>
    <x v="0"/>
    <n v="19"/>
    <n v="19"/>
    <x v="50"/>
    <d v="2025-02-21T00:00:00"/>
    <s v="F"/>
    <x v="0"/>
    <x v="2"/>
    <x v="0"/>
    <x v="3"/>
    <x v="3"/>
    <x v="7"/>
    <x v="2"/>
  </r>
  <r>
    <x v="1335"/>
    <x v="5"/>
    <x v="0"/>
    <n v="54.5"/>
    <n v="54.5"/>
    <x v="50"/>
    <d v="2025-02-22T00:00:00"/>
    <s v="M"/>
    <x v="0"/>
    <x v="0"/>
    <x v="0"/>
    <x v="3"/>
    <x v="1"/>
    <x v="7"/>
    <x v="1"/>
  </r>
  <r>
    <x v="1336"/>
    <x v="9"/>
    <x v="9"/>
    <n v="68.900000000000006"/>
    <n v="344.5"/>
    <x v="50"/>
    <d v="2025-02-22T00:00:00"/>
    <s v="M"/>
    <x v="4"/>
    <x v="1"/>
    <x v="0"/>
    <x v="3"/>
    <x v="1"/>
    <x v="7"/>
    <x v="1"/>
  </r>
  <r>
    <x v="1337"/>
    <x v="6"/>
    <x v="2"/>
    <n v="84"/>
    <n v="252"/>
    <x v="50"/>
    <d v="2025-02-21T00:00:00"/>
    <s v="M"/>
    <x v="1"/>
    <x v="4"/>
    <x v="0"/>
    <x v="16"/>
    <x v="3"/>
    <x v="7"/>
    <x v="1"/>
  </r>
  <r>
    <x v="1338"/>
    <x v="15"/>
    <x v="8"/>
    <n v="23.1"/>
    <n v="184.8"/>
    <x v="50"/>
    <d v="2025-02-25T00:00:00"/>
    <s v="M"/>
    <x v="0"/>
    <x v="2"/>
    <x v="0"/>
    <x v="23"/>
    <x v="0"/>
    <x v="7"/>
    <x v="1"/>
  </r>
  <r>
    <x v="1339"/>
    <x v="7"/>
    <x v="1"/>
    <n v="62.4"/>
    <n v="124.8"/>
    <x v="50"/>
    <d v="2025-02-21T00:00:00"/>
    <s v="F"/>
    <x v="0"/>
    <x v="1"/>
    <x v="0"/>
    <x v="6"/>
    <x v="3"/>
    <x v="7"/>
    <x v="2"/>
  </r>
  <r>
    <x v="1340"/>
    <x v="6"/>
    <x v="4"/>
    <n v="40.700000000000003"/>
    <n v="488.40000000000003"/>
    <x v="50"/>
    <d v="2025-02-22T00:00:00"/>
    <s v="M"/>
    <x v="1"/>
    <x v="2"/>
    <x v="0"/>
    <x v="6"/>
    <x v="1"/>
    <x v="7"/>
    <x v="1"/>
  </r>
  <r>
    <x v="1341"/>
    <x v="6"/>
    <x v="0"/>
    <n v="49.6"/>
    <n v="49.6"/>
    <x v="50"/>
    <d v="2025-02-23T00:00:00"/>
    <s v="M"/>
    <x v="2"/>
    <x v="0"/>
    <x v="0"/>
    <x v="7"/>
    <x v="2"/>
    <x v="7"/>
    <x v="1"/>
  </r>
  <r>
    <x v="1342"/>
    <x v="7"/>
    <x v="41"/>
    <n v="66.599999999999994"/>
    <n v="2996.9999999999995"/>
    <x v="50"/>
    <d v="2025-02-23T00:00:00"/>
    <s v="M"/>
    <x v="2"/>
    <x v="0"/>
    <x v="0"/>
    <x v="8"/>
    <x v="2"/>
    <x v="7"/>
    <x v="1"/>
  </r>
  <r>
    <x v="1343"/>
    <x v="8"/>
    <x v="2"/>
    <n v="26.4"/>
    <n v="79.199999999999989"/>
    <x v="50"/>
    <d v="2025-02-21T00:00:00"/>
    <s v="F"/>
    <x v="1"/>
    <x v="1"/>
    <x v="0"/>
    <x v="8"/>
    <x v="3"/>
    <x v="7"/>
    <x v="2"/>
  </r>
  <r>
    <x v="1344"/>
    <x v="0"/>
    <x v="1"/>
    <n v="17.2"/>
    <n v="34.4"/>
    <x v="50"/>
    <d v="2025-02-23T00:00:00"/>
    <s v="M"/>
    <x v="2"/>
    <x v="1"/>
    <x v="0"/>
    <x v="8"/>
    <x v="2"/>
    <x v="7"/>
    <x v="1"/>
  </r>
  <r>
    <x v="1345"/>
    <x v="5"/>
    <x v="8"/>
    <n v="58.1"/>
    <n v="464.8"/>
    <x v="50"/>
    <d v="2025-02-23T00:00:00"/>
    <s v="F"/>
    <x v="4"/>
    <x v="0"/>
    <x v="0"/>
    <x v="8"/>
    <x v="2"/>
    <x v="7"/>
    <x v="2"/>
  </r>
  <r>
    <x v="1346"/>
    <x v="15"/>
    <x v="12"/>
    <n v="31.5"/>
    <n v="126"/>
    <x v="50"/>
    <d v="2025-02-23T00:00:00"/>
    <s v="F"/>
    <x v="4"/>
    <x v="4"/>
    <x v="0"/>
    <x v="8"/>
    <x v="2"/>
    <x v="7"/>
    <x v="2"/>
  </r>
  <r>
    <x v="1347"/>
    <x v="0"/>
    <x v="0"/>
    <n v="27.1"/>
    <n v="27.1"/>
    <x v="50"/>
    <d v="2025-02-22T00:00:00"/>
    <s v="F"/>
    <x v="0"/>
    <x v="1"/>
    <x v="0"/>
    <x v="17"/>
    <x v="1"/>
    <x v="7"/>
    <x v="2"/>
  </r>
  <r>
    <x v="1348"/>
    <x v="18"/>
    <x v="12"/>
    <n v="28.5"/>
    <n v="114"/>
    <x v="50"/>
    <d v="2025-02-22T00:00:00"/>
    <s v="M"/>
    <x v="1"/>
    <x v="2"/>
    <x v="0"/>
    <x v="9"/>
    <x v="1"/>
    <x v="7"/>
    <x v="1"/>
  </r>
  <r>
    <x v="1349"/>
    <x v="10"/>
    <x v="0"/>
    <n v="40.5"/>
    <n v="40.5"/>
    <x v="51"/>
    <d v="2025-02-23T00:00:00"/>
    <s v="O"/>
    <x v="2"/>
    <x v="0"/>
    <x v="0"/>
    <x v="9"/>
    <x v="1"/>
    <x v="7"/>
    <x v="3"/>
  </r>
  <r>
    <x v="1350"/>
    <x v="2"/>
    <x v="2"/>
    <n v="77.900000000000006"/>
    <n v="233.70000000000002"/>
    <x v="51"/>
    <d v="2025-02-25T00:00:00"/>
    <s v="F"/>
    <x v="1"/>
    <x v="2"/>
    <x v="0"/>
    <x v="19"/>
    <x v="5"/>
    <x v="7"/>
    <x v="2"/>
  </r>
  <r>
    <x v="1351"/>
    <x v="18"/>
    <x v="12"/>
    <n v="37.1"/>
    <n v="148.4"/>
    <x v="51"/>
    <d v="2025-02-23T00:00:00"/>
    <s v="M"/>
    <x v="4"/>
    <x v="2"/>
    <x v="0"/>
    <x v="19"/>
    <x v="1"/>
    <x v="7"/>
    <x v="1"/>
  </r>
  <r>
    <x v="1352"/>
    <x v="16"/>
    <x v="2"/>
    <n v="51.6"/>
    <n v="154.80000000000001"/>
    <x v="51"/>
    <d v="2025-03-01T00:00:00"/>
    <s v="F"/>
    <x v="0"/>
    <x v="4"/>
    <x v="0"/>
    <x v="19"/>
    <x v="9"/>
    <x v="7"/>
    <x v="2"/>
  </r>
  <r>
    <x v="1353"/>
    <x v="7"/>
    <x v="2"/>
    <n v="98"/>
    <n v="294"/>
    <x v="51"/>
    <d v="2025-02-22T00:00:00"/>
    <s v="M"/>
    <x v="1"/>
    <x v="1"/>
    <x v="0"/>
    <x v="19"/>
    <x v="3"/>
    <x v="7"/>
    <x v="1"/>
  </r>
  <r>
    <x v="1354"/>
    <x v="6"/>
    <x v="3"/>
    <n v="41.4"/>
    <n v="289.8"/>
    <x v="51"/>
    <d v="2025-02-22T00:00:00"/>
    <s v="M"/>
    <x v="1"/>
    <x v="0"/>
    <x v="0"/>
    <x v="20"/>
    <x v="3"/>
    <x v="7"/>
    <x v="1"/>
  </r>
  <r>
    <x v="1355"/>
    <x v="11"/>
    <x v="8"/>
    <n v="34"/>
    <n v="272"/>
    <x v="51"/>
    <d v="2025-02-26T00:00:00"/>
    <s v="F"/>
    <x v="0"/>
    <x v="2"/>
    <x v="0"/>
    <x v="52"/>
    <x v="0"/>
    <x v="7"/>
    <x v="2"/>
  </r>
  <r>
    <x v="1356"/>
    <x v="6"/>
    <x v="0"/>
    <n v="66.3"/>
    <n v="66.3"/>
    <x v="51"/>
    <d v="2025-02-22T00:00:00"/>
    <s v="F"/>
    <x v="1"/>
    <x v="0"/>
    <x v="0"/>
    <x v="13"/>
    <x v="3"/>
    <x v="7"/>
    <x v="2"/>
  </r>
  <r>
    <x v="1357"/>
    <x v="7"/>
    <x v="0"/>
    <n v="33.5"/>
    <n v="33.5"/>
    <x v="51"/>
    <d v="2025-02-25T00:00:00"/>
    <s v="M"/>
    <x v="2"/>
    <x v="0"/>
    <x v="0"/>
    <x v="13"/>
    <x v="5"/>
    <x v="7"/>
    <x v="1"/>
  </r>
  <r>
    <x v="1358"/>
    <x v="12"/>
    <x v="1"/>
    <n v="70.8"/>
    <n v="141.6"/>
    <x v="51"/>
    <d v="2025-02-22T00:00:00"/>
    <s v=""/>
    <x v="0"/>
    <x v="0"/>
    <x v="0"/>
    <x v="28"/>
    <x v="3"/>
    <x v="7"/>
    <x v="0"/>
  </r>
  <r>
    <x v="1359"/>
    <x v="6"/>
    <x v="1"/>
    <n v="127.6"/>
    <n v="255.2"/>
    <x v="51"/>
    <d v="2025-02-22T00:00:00"/>
    <s v="M"/>
    <x v="0"/>
    <x v="0"/>
    <x v="0"/>
    <x v="21"/>
    <x v="3"/>
    <x v="7"/>
    <x v="1"/>
  </r>
  <r>
    <x v="1360"/>
    <x v="6"/>
    <x v="2"/>
    <n v="95.9"/>
    <n v="287.70000000000005"/>
    <x v="51"/>
    <d v="2025-02-22T00:00:00"/>
    <s v="F"/>
    <x v="1"/>
    <x v="1"/>
    <x v="0"/>
    <x v="21"/>
    <x v="3"/>
    <x v="7"/>
    <x v="2"/>
  </r>
  <r>
    <x v="1361"/>
    <x v="2"/>
    <x v="1"/>
    <n v="78.099999999999994"/>
    <n v="156.19999999999999"/>
    <x v="51"/>
    <d v="2025-02-22T00:00:00"/>
    <s v="M"/>
    <x v="0"/>
    <x v="0"/>
    <x v="0"/>
    <x v="1"/>
    <x v="3"/>
    <x v="7"/>
    <x v="1"/>
  </r>
  <r>
    <x v="1362"/>
    <x v="13"/>
    <x v="1"/>
    <n v="43.2"/>
    <n v="86.4"/>
    <x v="51"/>
    <d v="2025-02-22T00:00:00"/>
    <s v=""/>
    <x v="1"/>
    <x v="1"/>
    <x v="0"/>
    <x v="1"/>
    <x v="3"/>
    <x v="7"/>
    <x v="0"/>
  </r>
  <r>
    <x v="1363"/>
    <x v="8"/>
    <x v="12"/>
    <n v="28.4"/>
    <n v="113.6"/>
    <x v="51"/>
    <d v="2025-02-27T00:00:00"/>
    <s v="M"/>
    <x v="2"/>
    <x v="0"/>
    <x v="0"/>
    <x v="3"/>
    <x v="4"/>
    <x v="7"/>
    <x v="1"/>
  </r>
  <r>
    <x v="1364"/>
    <x v="2"/>
    <x v="1"/>
    <n v="81.7"/>
    <n v="163.4"/>
    <x v="51"/>
    <d v="2025-02-21T00:00:00"/>
    <s v="M"/>
    <x v="0"/>
    <x v="0"/>
    <x v="0"/>
    <x v="3"/>
    <x v="7"/>
    <x v="7"/>
    <x v="1"/>
  </r>
  <r>
    <x v="1365"/>
    <x v="18"/>
    <x v="1"/>
    <n v="56.7"/>
    <n v="113.4"/>
    <x v="51"/>
    <d v="2025-02-23T00:00:00"/>
    <s v=""/>
    <x v="0"/>
    <x v="2"/>
    <x v="0"/>
    <x v="3"/>
    <x v="1"/>
    <x v="7"/>
    <x v="0"/>
  </r>
  <r>
    <x v="1366"/>
    <x v="3"/>
    <x v="12"/>
    <n v="66.5"/>
    <n v="266"/>
    <x v="51"/>
    <d v="2025-02-21T00:00:00"/>
    <s v="F"/>
    <x v="0"/>
    <x v="2"/>
    <x v="0"/>
    <x v="3"/>
    <x v="7"/>
    <x v="7"/>
    <x v="2"/>
  </r>
  <r>
    <x v="1367"/>
    <x v="1"/>
    <x v="1"/>
    <n v="105.3"/>
    <n v="210.6"/>
    <x v="51"/>
    <d v="2025-02-25T00:00:00"/>
    <s v="M"/>
    <x v="0"/>
    <x v="1"/>
    <x v="0"/>
    <x v="3"/>
    <x v="5"/>
    <x v="7"/>
    <x v="1"/>
  </r>
  <r>
    <x v="1368"/>
    <x v="10"/>
    <x v="9"/>
    <n v="33.799999999999997"/>
    <n v="169"/>
    <x v="51"/>
    <d v="2025-02-26T00:00:00"/>
    <s v="M"/>
    <x v="0"/>
    <x v="0"/>
    <x v="0"/>
    <x v="3"/>
    <x v="0"/>
    <x v="7"/>
    <x v="1"/>
  </r>
  <r>
    <x v="1369"/>
    <x v="6"/>
    <x v="2"/>
    <n v="63.4"/>
    <n v="190.2"/>
    <x v="51"/>
    <d v="2025-02-26T00:00:00"/>
    <s v="M"/>
    <x v="3"/>
    <x v="1"/>
    <x v="0"/>
    <x v="24"/>
    <x v="0"/>
    <x v="7"/>
    <x v="1"/>
  </r>
  <r>
    <x v="1370"/>
    <x v="6"/>
    <x v="2"/>
    <n v="49"/>
    <n v="147"/>
    <x v="51"/>
    <d v="2025-02-25T00:00:00"/>
    <s v="M"/>
    <x v="3"/>
    <x v="0"/>
    <x v="0"/>
    <x v="49"/>
    <x v="5"/>
    <x v="7"/>
    <x v="1"/>
  </r>
  <r>
    <x v="1371"/>
    <x v="1"/>
    <x v="1"/>
    <n v="40"/>
    <n v="80"/>
    <x v="51"/>
    <d v="2025-02-22T00:00:00"/>
    <s v="F"/>
    <x v="4"/>
    <x v="1"/>
    <x v="0"/>
    <x v="23"/>
    <x v="3"/>
    <x v="7"/>
    <x v="2"/>
  </r>
  <r>
    <x v="1372"/>
    <x v="6"/>
    <x v="12"/>
    <n v="86.3"/>
    <n v="345.2"/>
    <x v="51"/>
    <d v="2025-02-22T00:00:00"/>
    <s v="O"/>
    <x v="0"/>
    <x v="0"/>
    <x v="0"/>
    <x v="6"/>
    <x v="3"/>
    <x v="7"/>
    <x v="3"/>
  </r>
  <r>
    <x v="1373"/>
    <x v="6"/>
    <x v="0"/>
    <n v="51.6"/>
    <n v="51.6"/>
    <x v="51"/>
    <d v="2025-02-23T00:00:00"/>
    <s v="F"/>
    <x v="2"/>
    <x v="2"/>
    <x v="0"/>
    <x v="6"/>
    <x v="1"/>
    <x v="7"/>
    <x v="2"/>
  </r>
  <r>
    <x v="1374"/>
    <x v="10"/>
    <x v="2"/>
    <n v="26.7"/>
    <n v="80.099999999999994"/>
    <x v="51"/>
    <d v="2025-02-26T00:00:00"/>
    <s v="F"/>
    <x v="2"/>
    <x v="1"/>
    <x v="0"/>
    <x v="6"/>
    <x v="0"/>
    <x v="7"/>
    <x v="2"/>
  </r>
  <r>
    <x v="1375"/>
    <x v="18"/>
    <x v="1"/>
    <n v="68.099999999999994"/>
    <n v="136.19999999999999"/>
    <x v="51"/>
    <d v="2025-02-22T00:00:00"/>
    <s v="M"/>
    <x v="0"/>
    <x v="1"/>
    <x v="0"/>
    <x v="6"/>
    <x v="3"/>
    <x v="7"/>
    <x v="1"/>
  </r>
  <r>
    <x v="1376"/>
    <x v="1"/>
    <x v="0"/>
    <n v="81.7"/>
    <n v="81.7"/>
    <x v="51"/>
    <d v="2025-02-22T00:00:00"/>
    <s v="M"/>
    <x v="0"/>
    <x v="0"/>
    <x v="0"/>
    <x v="7"/>
    <x v="3"/>
    <x v="7"/>
    <x v="1"/>
  </r>
  <r>
    <x v="1377"/>
    <x v="18"/>
    <x v="7"/>
    <n v="25.1"/>
    <n v="251"/>
    <x v="51"/>
    <d v="2025-02-24T00:00:00"/>
    <s v="M"/>
    <x v="3"/>
    <x v="1"/>
    <x v="0"/>
    <x v="8"/>
    <x v="2"/>
    <x v="7"/>
    <x v="1"/>
  </r>
  <r>
    <x v="1378"/>
    <x v="8"/>
    <x v="0"/>
    <n v="20.2"/>
    <n v="20.2"/>
    <x v="51"/>
    <d v="2025-02-25T00:00:00"/>
    <s v="F"/>
    <x v="0"/>
    <x v="0"/>
    <x v="0"/>
    <x v="8"/>
    <x v="5"/>
    <x v="7"/>
    <x v="2"/>
  </r>
  <r>
    <x v="1379"/>
    <x v="8"/>
    <x v="2"/>
    <n v="15.4"/>
    <n v="46.2"/>
    <x v="51"/>
    <d v="2025-02-22T00:00:00"/>
    <s v="M"/>
    <x v="1"/>
    <x v="2"/>
    <x v="0"/>
    <x v="8"/>
    <x v="3"/>
    <x v="7"/>
    <x v="1"/>
  </r>
  <r>
    <x v="1380"/>
    <x v="10"/>
    <x v="0"/>
    <n v="59.2"/>
    <n v="59.2"/>
    <x v="51"/>
    <d v="2025-02-22T00:00:00"/>
    <s v="M"/>
    <x v="2"/>
    <x v="2"/>
    <x v="0"/>
    <x v="17"/>
    <x v="3"/>
    <x v="7"/>
    <x v="1"/>
  </r>
  <r>
    <x v="1381"/>
    <x v="0"/>
    <x v="0"/>
    <n v="46.7"/>
    <n v="46.7"/>
    <x v="51"/>
    <d v="2025-02-26T00:00:00"/>
    <s v="M"/>
    <x v="0"/>
    <x v="0"/>
    <x v="0"/>
    <x v="17"/>
    <x v="0"/>
    <x v="7"/>
    <x v="1"/>
  </r>
  <r>
    <x v="1382"/>
    <x v="6"/>
    <x v="20"/>
    <n v="41.6"/>
    <n v="624"/>
    <x v="51"/>
    <d v="2025-02-23T00:00:00"/>
    <s v="M"/>
    <x v="1"/>
    <x v="0"/>
    <x v="0"/>
    <x v="26"/>
    <x v="1"/>
    <x v="7"/>
    <x v="1"/>
  </r>
  <r>
    <x v="1383"/>
    <x v="8"/>
    <x v="1"/>
    <n v="19.2"/>
    <n v="38.4"/>
    <x v="51"/>
    <d v="2025-02-24T00:00:00"/>
    <s v="M"/>
    <x v="4"/>
    <x v="2"/>
    <x v="0"/>
    <x v="9"/>
    <x v="2"/>
    <x v="7"/>
    <x v="1"/>
  </r>
  <r>
    <x v="1384"/>
    <x v="17"/>
    <x v="3"/>
    <n v="41.8"/>
    <n v="292.59999999999997"/>
    <x v="51"/>
    <d v="2025-02-23T00:00:00"/>
    <s v="F"/>
    <x v="2"/>
    <x v="0"/>
    <x v="0"/>
    <x v="11"/>
    <x v="1"/>
    <x v="7"/>
    <x v="2"/>
  </r>
  <r>
    <x v="1385"/>
    <x v="8"/>
    <x v="13"/>
    <n v="37.4"/>
    <n v="224.39999999999998"/>
    <x v="51"/>
    <d v="2025-02-23T00:00:00"/>
    <s v="M"/>
    <x v="0"/>
    <x v="2"/>
    <x v="0"/>
    <x v="11"/>
    <x v="1"/>
    <x v="7"/>
    <x v="1"/>
  </r>
  <r>
    <x v="1386"/>
    <x v="10"/>
    <x v="2"/>
    <n v="60.2"/>
    <n v="180.60000000000002"/>
    <x v="51"/>
    <d v="2025-02-24T00:00:00"/>
    <s v="M"/>
    <x v="4"/>
    <x v="1"/>
    <x v="0"/>
    <x v="38"/>
    <x v="2"/>
    <x v="7"/>
    <x v="1"/>
  </r>
  <r>
    <x v="1387"/>
    <x v="9"/>
    <x v="1"/>
    <n v="91.5"/>
    <n v="183"/>
    <x v="52"/>
    <d v="2025-02-23T00:00:00"/>
    <s v="M"/>
    <x v="0"/>
    <x v="0"/>
    <x v="0"/>
    <x v="13"/>
    <x v="3"/>
    <x v="7"/>
    <x v="1"/>
  </r>
  <r>
    <x v="1388"/>
    <x v="3"/>
    <x v="9"/>
    <n v="55.7"/>
    <n v="278.5"/>
    <x v="52"/>
    <d v="2025-02-24T00:00:00"/>
    <s v=""/>
    <x v="1"/>
    <x v="2"/>
    <x v="0"/>
    <x v="21"/>
    <x v="1"/>
    <x v="7"/>
    <x v="0"/>
  </r>
  <r>
    <x v="1389"/>
    <x v="7"/>
    <x v="1"/>
    <n v="76.7"/>
    <n v="153.4"/>
    <x v="52"/>
    <d v="2025-02-24T00:00:00"/>
    <s v="M"/>
    <x v="0"/>
    <x v="1"/>
    <x v="0"/>
    <x v="21"/>
    <x v="1"/>
    <x v="7"/>
    <x v="1"/>
  </r>
  <r>
    <x v="1390"/>
    <x v="8"/>
    <x v="38"/>
    <n v="28.2"/>
    <n v="592.19999999999993"/>
    <x v="52"/>
    <d v="2025-02-27T00:00:00"/>
    <s v="M"/>
    <x v="2"/>
    <x v="0"/>
    <x v="0"/>
    <x v="1"/>
    <x v="0"/>
    <x v="7"/>
    <x v="1"/>
  </r>
  <r>
    <x v="1391"/>
    <x v="7"/>
    <x v="9"/>
    <n v="93.2"/>
    <n v="466"/>
    <x v="52"/>
    <d v="2025-02-24T00:00:00"/>
    <s v="F"/>
    <x v="4"/>
    <x v="2"/>
    <x v="0"/>
    <x v="1"/>
    <x v="1"/>
    <x v="7"/>
    <x v="2"/>
  </r>
  <r>
    <x v="1392"/>
    <x v="17"/>
    <x v="0"/>
    <n v="33.299999999999997"/>
    <n v="33.299999999999997"/>
    <x v="52"/>
    <d v="2025-02-23T00:00:00"/>
    <s v="M"/>
    <x v="4"/>
    <x v="0"/>
    <x v="0"/>
    <x v="2"/>
    <x v="3"/>
    <x v="7"/>
    <x v="1"/>
  </r>
  <r>
    <x v="1393"/>
    <x v="10"/>
    <x v="1"/>
    <n v="39.1"/>
    <n v="78.2"/>
    <x v="52"/>
    <d v="2025-02-25T00:00:00"/>
    <s v="M"/>
    <x v="0"/>
    <x v="0"/>
    <x v="0"/>
    <x v="44"/>
    <x v="2"/>
    <x v="7"/>
    <x v="1"/>
  </r>
  <r>
    <x v="1394"/>
    <x v="7"/>
    <x v="4"/>
    <n v="45.3"/>
    <n v="543.59999999999991"/>
    <x v="52"/>
    <d v="2025-02-23T00:00:00"/>
    <s v="M"/>
    <x v="2"/>
    <x v="0"/>
    <x v="0"/>
    <x v="33"/>
    <x v="3"/>
    <x v="7"/>
    <x v="1"/>
  </r>
  <r>
    <x v="1395"/>
    <x v="9"/>
    <x v="3"/>
    <n v="33.9"/>
    <n v="237.29999999999998"/>
    <x v="52"/>
    <d v="2025-02-23T00:00:00"/>
    <s v="M"/>
    <x v="4"/>
    <x v="0"/>
    <x v="0"/>
    <x v="33"/>
    <x v="3"/>
    <x v="7"/>
    <x v="1"/>
  </r>
  <r>
    <x v="1396"/>
    <x v="8"/>
    <x v="2"/>
    <n v="19"/>
    <n v="57"/>
    <x v="52"/>
    <d v="2025-02-23T00:00:00"/>
    <s v="M"/>
    <x v="0"/>
    <x v="2"/>
    <x v="0"/>
    <x v="15"/>
    <x v="3"/>
    <x v="7"/>
    <x v="1"/>
  </r>
  <r>
    <x v="1397"/>
    <x v="4"/>
    <x v="0"/>
    <n v="41.9"/>
    <n v="41.9"/>
    <x v="52"/>
    <d v="2025-02-25T00:00:00"/>
    <s v="F"/>
    <x v="2"/>
    <x v="0"/>
    <x v="0"/>
    <x v="22"/>
    <x v="2"/>
    <x v="7"/>
    <x v="2"/>
  </r>
  <r>
    <x v="1398"/>
    <x v="1"/>
    <x v="12"/>
    <n v="37.5"/>
    <n v="150"/>
    <x v="52"/>
    <d v="2025-02-22T00:00:00"/>
    <s v="F"/>
    <x v="0"/>
    <x v="0"/>
    <x v="0"/>
    <x v="3"/>
    <x v="7"/>
    <x v="7"/>
    <x v="2"/>
  </r>
  <r>
    <x v="1399"/>
    <x v="0"/>
    <x v="1"/>
    <n v="40.799999999999997"/>
    <n v="81.599999999999994"/>
    <x v="52"/>
    <d v="2025-02-25T00:00:00"/>
    <s v="M"/>
    <x v="0"/>
    <x v="0"/>
    <x v="0"/>
    <x v="3"/>
    <x v="2"/>
    <x v="7"/>
    <x v="1"/>
  </r>
  <r>
    <x v="1400"/>
    <x v="0"/>
    <x v="12"/>
    <n v="23.1"/>
    <n v="92.4"/>
    <x v="52"/>
    <d v="2025-02-23T00:00:00"/>
    <s v="F"/>
    <x v="4"/>
    <x v="0"/>
    <x v="0"/>
    <x v="3"/>
    <x v="3"/>
    <x v="7"/>
    <x v="2"/>
  </r>
  <r>
    <x v="1401"/>
    <x v="8"/>
    <x v="9"/>
    <n v="39.299999999999997"/>
    <n v="196.5"/>
    <x v="52"/>
    <d v="2025-02-23T00:00:00"/>
    <s v="F"/>
    <x v="0"/>
    <x v="0"/>
    <x v="0"/>
    <x v="3"/>
    <x v="3"/>
    <x v="7"/>
    <x v="2"/>
  </r>
  <r>
    <x v="1402"/>
    <x v="2"/>
    <x v="12"/>
    <n v="85.2"/>
    <n v="340.8"/>
    <x v="52"/>
    <d v="2025-02-27T00:00:00"/>
    <s v="M"/>
    <x v="2"/>
    <x v="0"/>
    <x v="0"/>
    <x v="3"/>
    <x v="0"/>
    <x v="7"/>
    <x v="1"/>
  </r>
  <r>
    <x v="1403"/>
    <x v="8"/>
    <x v="13"/>
    <n v="16"/>
    <n v="96"/>
    <x v="52"/>
    <d v="2025-02-25T00:00:00"/>
    <s v="M"/>
    <x v="1"/>
    <x v="0"/>
    <x v="0"/>
    <x v="3"/>
    <x v="2"/>
    <x v="7"/>
    <x v="1"/>
  </r>
  <r>
    <x v="1404"/>
    <x v="1"/>
    <x v="1"/>
    <n v="33.799999999999997"/>
    <n v="67.599999999999994"/>
    <x v="52"/>
    <d v="2025-02-26T00:00:00"/>
    <s v="F"/>
    <x v="1"/>
    <x v="0"/>
    <x v="0"/>
    <x v="3"/>
    <x v="5"/>
    <x v="7"/>
    <x v="2"/>
  </r>
  <r>
    <x v="1405"/>
    <x v="3"/>
    <x v="0"/>
    <n v="70"/>
    <n v="70"/>
    <x v="52"/>
    <d v="2025-02-23T00:00:00"/>
    <s v="F"/>
    <x v="0"/>
    <x v="0"/>
    <x v="0"/>
    <x v="3"/>
    <x v="3"/>
    <x v="7"/>
    <x v="2"/>
  </r>
  <r>
    <x v="1406"/>
    <x v="9"/>
    <x v="0"/>
    <n v="88"/>
    <n v="88"/>
    <x v="52"/>
    <d v="2025-02-27T00:00:00"/>
    <s v="F"/>
    <x v="3"/>
    <x v="0"/>
    <x v="0"/>
    <x v="3"/>
    <x v="0"/>
    <x v="7"/>
    <x v="2"/>
  </r>
  <r>
    <x v="1407"/>
    <x v="2"/>
    <x v="2"/>
    <n v="74.099999999999994"/>
    <n v="222.29999999999998"/>
    <x v="52"/>
    <d v="2025-02-22T00:00:00"/>
    <s v="M"/>
    <x v="4"/>
    <x v="1"/>
    <x v="0"/>
    <x v="3"/>
    <x v="7"/>
    <x v="7"/>
    <x v="1"/>
  </r>
  <r>
    <x v="1408"/>
    <x v="2"/>
    <x v="0"/>
    <n v="161.9"/>
    <n v="161.9"/>
    <x v="52"/>
    <d v="2025-02-24T00:00:00"/>
    <s v="M"/>
    <x v="2"/>
    <x v="0"/>
    <x v="0"/>
    <x v="3"/>
    <x v="1"/>
    <x v="7"/>
    <x v="1"/>
  </r>
  <r>
    <x v="1409"/>
    <x v="4"/>
    <x v="1"/>
    <n v="44"/>
    <n v="88"/>
    <x v="52"/>
    <d v="2025-02-23T00:00:00"/>
    <s v="O"/>
    <x v="4"/>
    <x v="1"/>
    <x v="0"/>
    <x v="3"/>
    <x v="3"/>
    <x v="7"/>
    <x v="3"/>
  </r>
  <r>
    <x v="1410"/>
    <x v="11"/>
    <x v="0"/>
    <n v="32.1"/>
    <n v="32.1"/>
    <x v="52"/>
    <d v="2025-02-22T00:00:00"/>
    <s v="F"/>
    <x v="3"/>
    <x v="3"/>
    <x v="0"/>
    <x v="3"/>
    <x v="7"/>
    <x v="7"/>
    <x v="2"/>
  </r>
  <r>
    <x v="1411"/>
    <x v="2"/>
    <x v="12"/>
    <n v="104.8"/>
    <n v="419.2"/>
    <x v="53"/>
    <d v="2025-02-25T00:00:00"/>
    <s v="O"/>
    <x v="0"/>
    <x v="0"/>
    <x v="0"/>
    <x v="3"/>
    <x v="1"/>
    <x v="8"/>
    <x v="3"/>
  </r>
  <r>
    <x v="1412"/>
    <x v="9"/>
    <x v="13"/>
    <n v="67.400000000000006"/>
    <n v="404.40000000000003"/>
    <x v="53"/>
    <d v="2025-02-24T00:00:00"/>
    <s v="F"/>
    <x v="3"/>
    <x v="0"/>
    <x v="0"/>
    <x v="3"/>
    <x v="3"/>
    <x v="8"/>
    <x v="2"/>
  </r>
  <r>
    <x v="1413"/>
    <x v="6"/>
    <x v="1"/>
    <n v="115.2"/>
    <n v="230.4"/>
    <x v="53"/>
    <d v="2025-02-24T00:00:00"/>
    <s v="F"/>
    <x v="1"/>
    <x v="0"/>
    <x v="0"/>
    <x v="4"/>
    <x v="3"/>
    <x v="8"/>
    <x v="2"/>
  </r>
  <r>
    <x v="1414"/>
    <x v="8"/>
    <x v="19"/>
    <n v="15.5"/>
    <n v="449.5"/>
    <x v="53"/>
    <d v="2025-02-25T00:00:00"/>
    <s v="F"/>
    <x v="0"/>
    <x v="1"/>
    <x v="0"/>
    <x v="23"/>
    <x v="1"/>
    <x v="8"/>
    <x v="2"/>
  </r>
  <r>
    <x v="1415"/>
    <x v="6"/>
    <x v="5"/>
    <n v="66.400000000000006"/>
    <n v="730.40000000000009"/>
    <x v="53"/>
    <d v="2025-02-25T00:00:00"/>
    <s v="F"/>
    <x v="0"/>
    <x v="0"/>
    <x v="0"/>
    <x v="6"/>
    <x v="1"/>
    <x v="8"/>
    <x v="2"/>
  </r>
  <r>
    <x v="1416"/>
    <x v="9"/>
    <x v="4"/>
    <n v="68.099999999999994"/>
    <n v="817.19999999999993"/>
    <x v="53"/>
    <d v="2025-02-24T00:00:00"/>
    <s v="F"/>
    <x v="2"/>
    <x v="0"/>
    <x v="0"/>
    <x v="8"/>
    <x v="3"/>
    <x v="8"/>
    <x v="2"/>
  </r>
  <r>
    <x v="1417"/>
    <x v="8"/>
    <x v="9"/>
    <n v="32.5"/>
    <n v="162.5"/>
    <x v="53"/>
    <d v="2025-02-27T00:00:00"/>
    <s v="M"/>
    <x v="2"/>
    <x v="1"/>
    <x v="0"/>
    <x v="8"/>
    <x v="5"/>
    <x v="8"/>
    <x v="1"/>
  </r>
  <r>
    <x v="1418"/>
    <x v="15"/>
    <x v="2"/>
    <n v="61.2"/>
    <n v="183.60000000000002"/>
    <x v="53"/>
    <d v="2025-02-25T00:00:00"/>
    <s v="F"/>
    <x v="1"/>
    <x v="1"/>
    <x v="0"/>
    <x v="8"/>
    <x v="1"/>
    <x v="8"/>
    <x v="2"/>
  </r>
  <r>
    <x v="1419"/>
    <x v="9"/>
    <x v="1"/>
    <n v="54.2"/>
    <n v="108.4"/>
    <x v="53"/>
    <d v="2025-02-24T00:00:00"/>
    <s v="F"/>
    <x v="1"/>
    <x v="0"/>
    <x v="0"/>
    <x v="8"/>
    <x v="3"/>
    <x v="8"/>
    <x v="2"/>
  </r>
  <r>
    <x v="1420"/>
    <x v="11"/>
    <x v="8"/>
    <n v="28.7"/>
    <n v="229.6"/>
    <x v="53"/>
    <d v="2025-02-25T00:00:00"/>
    <s v="M"/>
    <x v="1"/>
    <x v="0"/>
    <x v="0"/>
    <x v="9"/>
    <x v="1"/>
    <x v="8"/>
    <x v="1"/>
  </r>
  <r>
    <x v="1421"/>
    <x v="12"/>
    <x v="13"/>
    <n v="38.200000000000003"/>
    <n v="229.20000000000002"/>
    <x v="53"/>
    <d v="2025-02-27T00:00:00"/>
    <s v="F"/>
    <x v="0"/>
    <x v="1"/>
    <x v="0"/>
    <x v="9"/>
    <x v="5"/>
    <x v="8"/>
    <x v="2"/>
  </r>
  <r>
    <x v="1422"/>
    <x v="8"/>
    <x v="4"/>
    <n v="17.600000000000001"/>
    <n v="211.20000000000002"/>
    <x v="53"/>
    <d v="2025-02-24T00:00:00"/>
    <s v="F"/>
    <x v="2"/>
    <x v="1"/>
    <x v="0"/>
    <x v="9"/>
    <x v="3"/>
    <x v="8"/>
    <x v="2"/>
  </r>
  <r>
    <x v="1423"/>
    <x v="10"/>
    <x v="2"/>
    <n v="74.599999999999994"/>
    <n v="223.79999999999998"/>
    <x v="53"/>
    <d v="2025-02-23T00:00:00"/>
    <s v="F"/>
    <x v="2"/>
    <x v="0"/>
    <x v="0"/>
    <x v="11"/>
    <x v="7"/>
    <x v="8"/>
    <x v="2"/>
  </r>
  <r>
    <x v="1424"/>
    <x v="16"/>
    <x v="20"/>
    <n v="72.599999999999994"/>
    <n v="1089"/>
    <x v="53"/>
    <d v="2025-02-23T00:00:00"/>
    <s v=""/>
    <x v="1"/>
    <x v="1"/>
    <x v="0"/>
    <x v="11"/>
    <x v="7"/>
    <x v="8"/>
    <x v="0"/>
  </r>
  <r>
    <x v="1425"/>
    <x v="7"/>
    <x v="0"/>
    <n v="62.3"/>
    <n v="62.3"/>
    <x v="53"/>
    <d v="2025-02-24T00:00:00"/>
    <s v="F"/>
    <x v="1"/>
    <x v="0"/>
    <x v="0"/>
    <x v="11"/>
    <x v="3"/>
    <x v="8"/>
    <x v="2"/>
  </r>
  <r>
    <x v="1426"/>
    <x v="3"/>
    <x v="2"/>
    <n v="33.799999999999997"/>
    <n v="101.39999999999999"/>
    <x v="53"/>
    <d v="2025-02-25T00:00:00"/>
    <s v="M"/>
    <x v="0"/>
    <x v="2"/>
    <x v="0"/>
    <x v="20"/>
    <x v="1"/>
    <x v="8"/>
    <x v="1"/>
  </r>
  <r>
    <x v="1427"/>
    <x v="9"/>
    <x v="0"/>
    <n v="85.7"/>
    <n v="85.7"/>
    <x v="53"/>
    <d v="2025-02-26T00:00:00"/>
    <s v="M"/>
    <x v="3"/>
    <x v="1"/>
    <x v="0"/>
    <x v="21"/>
    <x v="2"/>
    <x v="8"/>
    <x v="1"/>
  </r>
  <r>
    <x v="1428"/>
    <x v="6"/>
    <x v="1"/>
    <n v="92.1"/>
    <n v="184.2"/>
    <x v="53"/>
    <d v="2025-02-25T00:00:00"/>
    <s v="M"/>
    <x v="1"/>
    <x v="0"/>
    <x v="0"/>
    <x v="21"/>
    <x v="1"/>
    <x v="8"/>
    <x v="1"/>
  </r>
  <r>
    <x v="1429"/>
    <x v="16"/>
    <x v="2"/>
    <n v="65.099999999999994"/>
    <n v="195.29999999999998"/>
    <x v="53"/>
    <d v="2025-02-26T00:00:00"/>
    <s v="M"/>
    <x v="0"/>
    <x v="0"/>
    <x v="0"/>
    <x v="1"/>
    <x v="2"/>
    <x v="8"/>
    <x v="1"/>
  </r>
  <r>
    <x v="1430"/>
    <x v="9"/>
    <x v="3"/>
    <n v="20.3"/>
    <n v="142.1"/>
    <x v="53"/>
    <d v="2025-02-24T00:00:00"/>
    <s v="F"/>
    <x v="2"/>
    <x v="2"/>
    <x v="0"/>
    <x v="2"/>
    <x v="3"/>
    <x v="8"/>
    <x v="2"/>
  </r>
  <r>
    <x v="1431"/>
    <x v="19"/>
    <x v="1"/>
    <n v="29.8"/>
    <n v="59.6"/>
    <x v="53"/>
    <d v="2025-02-25T00:00:00"/>
    <s v="F"/>
    <x v="1"/>
    <x v="2"/>
    <x v="0"/>
    <x v="34"/>
    <x v="1"/>
    <x v="8"/>
    <x v="2"/>
  </r>
  <r>
    <x v="1432"/>
    <x v="0"/>
    <x v="1"/>
    <n v="24.2"/>
    <n v="48.4"/>
    <x v="53"/>
    <d v="2025-02-25T00:00:00"/>
    <s v="F"/>
    <x v="3"/>
    <x v="2"/>
    <x v="0"/>
    <x v="3"/>
    <x v="1"/>
    <x v="8"/>
    <x v="2"/>
  </r>
  <r>
    <x v="1433"/>
    <x v="3"/>
    <x v="0"/>
    <n v="57.3"/>
    <n v="57.3"/>
    <x v="53"/>
    <d v="2025-02-25T00:00:00"/>
    <s v="M"/>
    <x v="0"/>
    <x v="0"/>
    <x v="0"/>
    <x v="3"/>
    <x v="1"/>
    <x v="8"/>
    <x v="1"/>
  </r>
  <r>
    <x v="1434"/>
    <x v="2"/>
    <x v="0"/>
    <n v="108.9"/>
    <n v="108.9"/>
    <x v="53"/>
    <d v="2025-02-25T00:00:00"/>
    <s v="F"/>
    <x v="1"/>
    <x v="0"/>
    <x v="0"/>
    <x v="3"/>
    <x v="1"/>
    <x v="8"/>
    <x v="2"/>
  </r>
  <r>
    <x v="1435"/>
    <x v="7"/>
    <x v="9"/>
    <n v="50.7"/>
    <n v="253.5"/>
    <x v="53"/>
    <d v="2025-02-24T00:00:00"/>
    <s v="F"/>
    <x v="0"/>
    <x v="0"/>
    <x v="0"/>
    <x v="3"/>
    <x v="3"/>
    <x v="8"/>
    <x v="2"/>
  </r>
  <r>
    <x v="1436"/>
    <x v="7"/>
    <x v="11"/>
    <n v="66.099999999999994"/>
    <n v="594.9"/>
    <x v="53"/>
    <d v="2025-03-09T00:00:00"/>
    <s v="F"/>
    <x v="1"/>
    <x v="0"/>
    <x v="0"/>
    <x v="3"/>
    <x v="12"/>
    <x v="8"/>
    <x v="2"/>
  </r>
  <r>
    <x v="1437"/>
    <x v="12"/>
    <x v="9"/>
    <n v="36.700000000000003"/>
    <n v="183.5"/>
    <x v="53"/>
    <d v="2025-02-27T00:00:00"/>
    <s v="F"/>
    <x v="4"/>
    <x v="0"/>
    <x v="0"/>
    <x v="3"/>
    <x v="5"/>
    <x v="8"/>
    <x v="2"/>
  </r>
  <r>
    <x v="1438"/>
    <x v="8"/>
    <x v="14"/>
    <n v="19.3"/>
    <n v="328.1"/>
    <x v="53"/>
    <d v="2025-02-25T00:00:00"/>
    <s v="M"/>
    <x v="0"/>
    <x v="0"/>
    <x v="0"/>
    <x v="43"/>
    <x v="1"/>
    <x v="8"/>
    <x v="1"/>
  </r>
  <r>
    <x v="1439"/>
    <x v="8"/>
    <x v="12"/>
    <n v="20.7"/>
    <n v="82.8"/>
    <x v="53"/>
    <d v="2025-02-24T00:00:00"/>
    <s v="M"/>
    <x v="1"/>
    <x v="2"/>
    <x v="0"/>
    <x v="6"/>
    <x v="3"/>
    <x v="8"/>
    <x v="1"/>
  </r>
  <r>
    <x v="1440"/>
    <x v="5"/>
    <x v="2"/>
    <n v="54.7"/>
    <n v="164.10000000000002"/>
    <x v="53"/>
    <d v="2025-02-23T00:00:00"/>
    <s v="O"/>
    <x v="1"/>
    <x v="4"/>
    <x v="0"/>
    <x v="6"/>
    <x v="7"/>
    <x v="8"/>
    <x v="3"/>
  </r>
  <r>
    <x v="1441"/>
    <x v="4"/>
    <x v="1"/>
    <n v="19.8"/>
    <n v="39.6"/>
    <x v="53"/>
    <d v="2025-02-27T00:00:00"/>
    <s v="F"/>
    <x v="4"/>
    <x v="1"/>
    <x v="0"/>
    <x v="8"/>
    <x v="5"/>
    <x v="8"/>
    <x v="2"/>
  </r>
  <r>
    <x v="1442"/>
    <x v="7"/>
    <x v="0"/>
    <n v="41.1"/>
    <n v="41.1"/>
    <x v="53"/>
    <d v="2025-02-25T00:00:00"/>
    <s v="F"/>
    <x v="0"/>
    <x v="2"/>
    <x v="0"/>
    <x v="8"/>
    <x v="1"/>
    <x v="8"/>
    <x v="2"/>
  </r>
  <r>
    <x v="1443"/>
    <x v="11"/>
    <x v="8"/>
    <n v="43.5"/>
    <n v="348"/>
    <x v="53"/>
    <d v="2025-02-27T00:00:00"/>
    <s v="F"/>
    <x v="3"/>
    <x v="0"/>
    <x v="0"/>
    <x v="8"/>
    <x v="5"/>
    <x v="8"/>
    <x v="2"/>
  </r>
  <r>
    <x v="1444"/>
    <x v="8"/>
    <x v="21"/>
    <n v="19"/>
    <n v="266"/>
    <x v="53"/>
    <d v="2025-02-24T00:00:00"/>
    <s v="M"/>
    <x v="0"/>
    <x v="0"/>
    <x v="0"/>
    <x v="26"/>
    <x v="3"/>
    <x v="8"/>
    <x v="1"/>
  </r>
  <r>
    <x v="1445"/>
    <x v="2"/>
    <x v="12"/>
    <n v="51.4"/>
    <n v="205.6"/>
    <x v="53"/>
    <d v="2025-02-23T00:00:00"/>
    <s v="F"/>
    <x v="0"/>
    <x v="0"/>
    <x v="0"/>
    <x v="26"/>
    <x v="7"/>
    <x v="8"/>
    <x v="2"/>
  </r>
  <r>
    <x v="1446"/>
    <x v="10"/>
    <x v="1"/>
    <n v="39.799999999999997"/>
    <n v="79.599999999999994"/>
    <x v="53"/>
    <d v="2025-02-26T00:00:00"/>
    <s v="M"/>
    <x v="3"/>
    <x v="1"/>
    <x v="0"/>
    <x v="13"/>
    <x v="2"/>
    <x v="8"/>
    <x v="1"/>
  </r>
  <r>
    <x v="1447"/>
    <x v="6"/>
    <x v="9"/>
    <n v="61"/>
    <n v="305"/>
    <x v="53"/>
    <d v="2025-02-24T00:00:00"/>
    <s v=""/>
    <x v="0"/>
    <x v="2"/>
    <x v="0"/>
    <x v="21"/>
    <x v="3"/>
    <x v="8"/>
    <x v="0"/>
  </r>
  <r>
    <x v="1448"/>
    <x v="8"/>
    <x v="5"/>
    <n v="15.1"/>
    <n v="166.1"/>
    <x v="54"/>
    <d v="2025-03-01T00:00:00"/>
    <s v="M"/>
    <x v="3"/>
    <x v="2"/>
    <x v="0"/>
    <x v="2"/>
    <x v="0"/>
    <x v="8"/>
    <x v="1"/>
  </r>
  <r>
    <x v="1449"/>
    <x v="1"/>
    <x v="3"/>
    <n v="71.3"/>
    <n v="499.09999999999997"/>
    <x v="54"/>
    <d v="2025-02-25T00:00:00"/>
    <s v="M"/>
    <x v="4"/>
    <x v="0"/>
    <x v="0"/>
    <x v="3"/>
    <x v="3"/>
    <x v="8"/>
    <x v="1"/>
  </r>
  <r>
    <x v="1450"/>
    <x v="10"/>
    <x v="0"/>
    <n v="25.8"/>
    <n v="25.8"/>
    <x v="54"/>
    <d v="2025-02-26T00:00:00"/>
    <s v="F"/>
    <x v="0"/>
    <x v="2"/>
    <x v="0"/>
    <x v="3"/>
    <x v="1"/>
    <x v="8"/>
    <x v="2"/>
  </r>
  <r>
    <x v="1451"/>
    <x v="8"/>
    <x v="9"/>
    <n v="39.6"/>
    <n v="198"/>
    <x v="54"/>
    <d v="2025-02-26T00:00:00"/>
    <s v="M"/>
    <x v="1"/>
    <x v="2"/>
    <x v="0"/>
    <x v="3"/>
    <x v="1"/>
    <x v="8"/>
    <x v="1"/>
  </r>
  <r>
    <x v="1452"/>
    <x v="5"/>
    <x v="1"/>
    <n v="64"/>
    <n v="128"/>
    <x v="54"/>
    <d v="2025-02-24T00:00:00"/>
    <s v="M"/>
    <x v="1"/>
    <x v="1"/>
    <x v="0"/>
    <x v="3"/>
    <x v="7"/>
    <x v="8"/>
    <x v="1"/>
  </r>
  <r>
    <x v="1453"/>
    <x v="8"/>
    <x v="1"/>
    <n v="30.6"/>
    <n v="61.2"/>
    <x v="54"/>
    <d v="2025-02-27T00:00:00"/>
    <s v="M"/>
    <x v="0"/>
    <x v="2"/>
    <x v="0"/>
    <x v="3"/>
    <x v="2"/>
    <x v="8"/>
    <x v="1"/>
  </r>
  <r>
    <x v="1454"/>
    <x v="8"/>
    <x v="1"/>
    <n v="21.3"/>
    <n v="42.6"/>
    <x v="54"/>
    <d v="2025-02-25T00:00:00"/>
    <s v="M"/>
    <x v="0"/>
    <x v="1"/>
    <x v="0"/>
    <x v="3"/>
    <x v="3"/>
    <x v="8"/>
    <x v="1"/>
  </r>
  <r>
    <x v="1455"/>
    <x v="7"/>
    <x v="0"/>
    <n v="40.799999999999997"/>
    <n v="40.799999999999997"/>
    <x v="54"/>
    <d v="2025-02-26T00:00:00"/>
    <s v="F"/>
    <x v="4"/>
    <x v="0"/>
    <x v="0"/>
    <x v="3"/>
    <x v="1"/>
    <x v="8"/>
    <x v="2"/>
  </r>
  <r>
    <x v="1456"/>
    <x v="9"/>
    <x v="12"/>
    <n v="27.7"/>
    <n v="110.8"/>
    <x v="54"/>
    <d v="2025-02-25T00:00:00"/>
    <s v="F"/>
    <x v="0"/>
    <x v="1"/>
    <x v="0"/>
    <x v="3"/>
    <x v="3"/>
    <x v="8"/>
    <x v="2"/>
  </r>
  <r>
    <x v="1457"/>
    <x v="6"/>
    <x v="1"/>
    <n v="64.599999999999994"/>
    <n v="129.19999999999999"/>
    <x v="54"/>
    <d v="2025-02-25T00:00:00"/>
    <s v="M"/>
    <x v="0"/>
    <x v="1"/>
    <x v="0"/>
    <x v="3"/>
    <x v="3"/>
    <x v="8"/>
    <x v="1"/>
  </r>
  <r>
    <x v="1458"/>
    <x v="6"/>
    <x v="27"/>
    <n v="91.1"/>
    <n v="1457.6"/>
    <x v="54"/>
    <d v="2025-02-25T00:00:00"/>
    <s v="F"/>
    <x v="1"/>
    <x v="2"/>
    <x v="0"/>
    <x v="3"/>
    <x v="3"/>
    <x v="8"/>
    <x v="2"/>
  </r>
  <r>
    <x v="1459"/>
    <x v="1"/>
    <x v="0"/>
    <n v="39.5"/>
    <n v="39.5"/>
    <x v="54"/>
    <d v="2025-03-04T00:00:00"/>
    <s v="F"/>
    <x v="0"/>
    <x v="0"/>
    <x v="0"/>
    <x v="3"/>
    <x v="9"/>
    <x v="8"/>
    <x v="2"/>
  </r>
  <r>
    <x v="1460"/>
    <x v="9"/>
    <x v="1"/>
    <n v="21.8"/>
    <n v="43.6"/>
    <x v="54"/>
    <d v="2025-02-28T00:00:00"/>
    <s v="M"/>
    <x v="4"/>
    <x v="2"/>
    <x v="0"/>
    <x v="3"/>
    <x v="5"/>
    <x v="8"/>
    <x v="1"/>
  </r>
  <r>
    <x v="1461"/>
    <x v="8"/>
    <x v="1"/>
    <n v="51"/>
    <n v="102"/>
    <x v="54"/>
    <d v="2025-02-27T00:00:00"/>
    <s v="M"/>
    <x v="3"/>
    <x v="2"/>
    <x v="0"/>
    <x v="3"/>
    <x v="2"/>
    <x v="8"/>
    <x v="1"/>
  </r>
  <r>
    <x v="1462"/>
    <x v="2"/>
    <x v="0"/>
    <n v="92.6"/>
    <n v="92.6"/>
    <x v="54"/>
    <d v="2025-02-27T00:00:00"/>
    <s v="F"/>
    <x v="0"/>
    <x v="2"/>
    <x v="0"/>
    <x v="35"/>
    <x v="2"/>
    <x v="8"/>
    <x v="2"/>
  </r>
  <r>
    <x v="1463"/>
    <x v="9"/>
    <x v="1"/>
    <n v="31.1"/>
    <n v="62.2"/>
    <x v="54"/>
    <d v="2025-03-01T00:00:00"/>
    <s v=""/>
    <x v="1"/>
    <x v="3"/>
    <x v="0"/>
    <x v="23"/>
    <x v="0"/>
    <x v="8"/>
    <x v="0"/>
  </r>
  <r>
    <x v="1464"/>
    <x v="5"/>
    <x v="2"/>
    <n v="56.4"/>
    <n v="169.2"/>
    <x v="54"/>
    <d v="2025-02-25T00:00:00"/>
    <s v=""/>
    <x v="1"/>
    <x v="0"/>
    <x v="0"/>
    <x v="6"/>
    <x v="3"/>
    <x v="8"/>
    <x v="0"/>
  </r>
  <r>
    <x v="1465"/>
    <x v="9"/>
    <x v="0"/>
    <n v="41.9"/>
    <n v="41.9"/>
    <x v="54"/>
    <d v="2025-02-24T00:00:00"/>
    <s v="M"/>
    <x v="1"/>
    <x v="0"/>
    <x v="0"/>
    <x v="6"/>
    <x v="7"/>
    <x v="8"/>
    <x v="1"/>
  </r>
  <r>
    <x v="1466"/>
    <x v="10"/>
    <x v="3"/>
    <n v="45.9"/>
    <n v="321.3"/>
    <x v="54"/>
    <d v="2025-02-25T00:00:00"/>
    <s v="M"/>
    <x v="3"/>
    <x v="2"/>
    <x v="0"/>
    <x v="8"/>
    <x v="3"/>
    <x v="8"/>
    <x v="1"/>
  </r>
  <r>
    <x v="1467"/>
    <x v="14"/>
    <x v="11"/>
    <n v="24.4"/>
    <n v="219.6"/>
    <x v="54"/>
    <d v="2025-02-28T00:00:00"/>
    <s v="M"/>
    <x v="3"/>
    <x v="2"/>
    <x v="0"/>
    <x v="8"/>
    <x v="5"/>
    <x v="8"/>
    <x v="1"/>
  </r>
  <r>
    <x v="1468"/>
    <x v="8"/>
    <x v="0"/>
    <n v="18.2"/>
    <n v="18.2"/>
    <x v="54"/>
    <d v="2025-02-25T00:00:00"/>
    <s v="F"/>
    <x v="2"/>
    <x v="2"/>
    <x v="0"/>
    <x v="8"/>
    <x v="3"/>
    <x v="8"/>
    <x v="2"/>
  </r>
  <r>
    <x v="1469"/>
    <x v="8"/>
    <x v="12"/>
    <n v="51.2"/>
    <n v="204.8"/>
    <x v="54"/>
    <d v="2025-02-25T00:00:00"/>
    <s v="F"/>
    <x v="0"/>
    <x v="0"/>
    <x v="0"/>
    <x v="8"/>
    <x v="3"/>
    <x v="8"/>
    <x v="2"/>
  </r>
  <r>
    <x v="1470"/>
    <x v="6"/>
    <x v="0"/>
    <n v="59.7"/>
    <n v="59.7"/>
    <x v="54"/>
    <d v="2025-02-27T00:00:00"/>
    <s v="M"/>
    <x v="0"/>
    <x v="2"/>
    <x v="0"/>
    <x v="8"/>
    <x v="2"/>
    <x v="8"/>
    <x v="1"/>
  </r>
  <r>
    <x v="1471"/>
    <x v="4"/>
    <x v="1"/>
    <n v="33.6"/>
    <n v="67.2"/>
    <x v="54"/>
    <d v="2025-02-26T00:00:00"/>
    <s v="F"/>
    <x v="0"/>
    <x v="0"/>
    <x v="0"/>
    <x v="17"/>
    <x v="1"/>
    <x v="8"/>
    <x v="2"/>
  </r>
  <r>
    <x v="1472"/>
    <x v="12"/>
    <x v="0"/>
    <n v="90.4"/>
    <n v="90.4"/>
    <x v="54"/>
    <d v="2025-02-28T00:00:00"/>
    <s v="M"/>
    <x v="1"/>
    <x v="2"/>
    <x v="0"/>
    <x v="10"/>
    <x v="5"/>
    <x v="8"/>
    <x v="1"/>
  </r>
  <r>
    <x v="1473"/>
    <x v="11"/>
    <x v="2"/>
    <n v="70.3"/>
    <n v="210.89999999999998"/>
    <x v="54"/>
    <d v="2025-02-24T00:00:00"/>
    <s v="M"/>
    <x v="1"/>
    <x v="2"/>
    <x v="0"/>
    <x v="11"/>
    <x v="7"/>
    <x v="8"/>
    <x v="1"/>
  </r>
  <r>
    <x v="1474"/>
    <x v="4"/>
    <x v="1"/>
    <n v="20.5"/>
    <n v="41"/>
    <x v="54"/>
    <d v="2025-02-27T00:00:00"/>
    <s v="F"/>
    <x v="0"/>
    <x v="1"/>
    <x v="0"/>
    <x v="11"/>
    <x v="2"/>
    <x v="8"/>
    <x v="2"/>
  </r>
  <r>
    <x v="1475"/>
    <x v="5"/>
    <x v="5"/>
    <n v="37.6"/>
    <n v="413.6"/>
    <x v="54"/>
    <d v="2025-02-25T00:00:00"/>
    <s v="M"/>
    <x v="0"/>
    <x v="0"/>
    <x v="0"/>
    <x v="38"/>
    <x v="3"/>
    <x v="8"/>
    <x v="1"/>
  </r>
  <r>
    <x v="1476"/>
    <x v="5"/>
    <x v="12"/>
    <n v="61.5"/>
    <n v="246"/>
    <x v="54"/>
    <d v="2025-03-03T00:00:00"/>
    <s v="F"/>
    <x v="1"/>
    <x v="4"/>
    <x v="0"/>
    <x v="13"/>
    <x v="6"/>
    <x v="8"/>
    <x v="2"/>
  </r>
  <r>
    <x v="1477"/>
    <x v="9"/>
    <x v="0"/>
    <n v="33.5"/>
    <n v="33.5"/>
    <x v="55"/>
    <d v="2025-03-01T00:00:00"/>
    <s v="M"/>
    <x v="4"/>
    <x v="1"/>
    <x v="0"/>
    <x v="21"/>
    <x v="5"/>
    <x v="8"/>
    <x v="1"/>
  </r>
  <r>
    <x v="1478"/>
    <x v="4"/>
    <x v="2"/>
    <n v="29.3"/>
    <n v="87.9"/>
    <x v="55"/>
    <d v="2025-02-27T00:00:00"/>
    <s v="F"/>
    <x v="1"/>
    <x v="2"/>
    <x v="0"/>
    <x v="1"/>
    <x v="1"/>
    <x v="8"/>
    <x v="2"/>
  </r>
  <r>
    <x v="1479"/>
    <x v="2"/>
    <x v="1"/>
    <n v="125.9"/>
    <n v="251.8"/>
    <x v="55"/>
    <d v="2025-03-02T00:00:00"/>
    <s v="F"/>
    <x v="4"/>
    <x v="1"/>
    <x v="0"/>
    <x v="1"/>
    <x v="0"/>
    <x v="8"/>
    <x v="2"/>
  </r>
  <r>
    <x v="1480"/>
    <x v="5"/>
    <x v="9"/>
    <n v="29.3"/>
    <n v="146.5"/>
    <x v="55"/>
    <d v="2025-02-25T00:00:00"/>
    <s v="M"/>
    <x v="2"/>
    <x v="0"/>
    <x v="0"/>
    <x v="44"/>
    <x v="7"/>
    <x v="8"/>
    <x v="1"/>
  </r>
  <r>
    <x v="1481"/>
    <x v="9"/>
    <x v="0"/>
    <n v="37.799999999999997"/>
    <n v="37.799999999999997"/>
    <x v="55"/>
    <d v="2025-02-28T00:00:00"/>
    <s v="F"/>
    <x v="0"/>
    <x v="2"/>
    <x v="0"/>
    <x v="3"/>
    <x v="2"/>
    <x v="8"/>
    <x v="2"/>
  </r>
  <r>
    <x v="1482"/>
    <x v="0"/>
    <x v="12"/>
    <n v="31.7"/>
    <n v="126.8"/>
    <x v="55"/>
    <d v="2025-02-26T00:00:00"/>
    <s v="M"/>
    <x v="2"/>
    <x v="2"/>
    <x v="0"/>
    <x v="3"/>
    <x v="3"/>
    <x v="8"/>
    <x v="1"/>
  </r>
  <r>
    <x v="1483"/>
    <x v="8"/>
    <x v="9"/>
    <n v="26.3"/>
    <n v="131.5"/>
    <x v="55"/>
    <d v="2025-02-26T00:00:00"/>
    <s v="F"/>
    <x v="3"/>
    <x v="2"/>
    <x v="0"/>
    <x v="3"/>
    <x v="3"/>
    <x v="8"/>
    <x v="2"/>
  </r>
  <r>
    <x v="1484"/>
    <x v="8"/>
    <x v="2"/>
    <n v="23.1"/>
    <n v="69.300000000000011"/>
    <x v="55"/>
    <d v="2025-02-26T00:00:00"/>
    <s v="O"/>
    <x v="2"/>
    <x v="1"/>
    <x v="0"/>
    <x v="3"/>
    <x v="3"/>
    <x v="8"/>
    <x v="3"/>
  </r>
  <r>
    <x v="1485"/>
    <x v="4"/>
    <x v="0"/>
    <n v="22.3"/>
    <n v="22.3"/>
    <x v="55"/>
    <d v="2025-02-27T00:00:00"/>
    <s v="F"/>
    <x v="2"/>
    <x v="0"/>
    <x v="0"/>
    <x v="3"/>
    <x v="1"/>
    <x v="8"/>
    <x v="2"/>
  </r>
  <r>
    <x v="1486"/>
    <x v="12"/>
    <x v="1"/>
    <n v="99.5"/>
    <n v="199"/>
    <x v="55"/>
    <d v="2025-02-27T00:00:00"/>
    <s v="F"/>
    <x v="2"/>
    <x v="0"/>
    <x v="0"/>
    <x v="3"/>
    <x v="1"/>
    <x v="8"/>
    <x v="2"/>
  </r>
  <r>
    <x v="1487"/>
    <x v="12"/>
    <x v="12"/>
    <n v="47.4"/>
    <n v="189.6"/>
    <x v="55"/>
    <d v="2025-02-28T00:00:00"/>
    <s v="F"/>
    <x v="1"/>
    <x v="0"/>
    <x v="0"/>
    <x v="3"/>
    <x v="2"/>
    <x v="8"/>
    <x v="2"/>
  </r>
  <r>
    <x v="1488"/>
    <x v="0"/>
    <x v="5"/>
    <n v="37.5"/>
    <n v="412.5"/>
    <x v="55"/>
    <d v="2025-02-27T00:00:00"/>
    <s v="F"/>
    <x v="0"/>
    <x v="3"/>
    <x v="0"/>
    <x v="3"/>
    <x v="1"/>
    <x v="8"/>
    <x v="2"/>
  </r>
  <r>
    <x v="1489"/>
    <x v="10"/>
    <x v="0"/>
    <n v="45.1"/>
    <n v="45.1"/>
    <x v="55"/>
    <d v="2025-03-02T00:00:00"/>
    <s v="M"/>
    <x v="3"/>
    <x v="2"/>
    <x v="0"/>
    <x v="24"/>
    <x v="0"/>
    <x v="8"/>
    <x v="1"/>
  </r>
  <r>
    <x v="1490"/>
    <x v="5"/>
    <x v="7"/>
    <n v="34.4"/>
    <n v="344"/>
    <x v="55"/>
    <d v="2025-02-28T00:00:00"/>
    <s v="M"/>
    <x v="2"/>
    <x v="0"/>
    <x v="0"/>
    <x v="16"/>
    <x v="2"/>
    <x v="8"/>
    <x v="1"/>
  </r>
  <r>
    <x v="1491"/>
    <x v="4"/>
    <x v="1"/>
    <n v="38"/>
    <n v="76"/>
    <x v="55"/>
    <d v="2025-02-27T00:00:00"/>
    <s v="F"/>
    <x v="1"/>
    <x v="0"/>
    <x v="0"/>
    <x v="5"/>
    <x v="1"/>
    <x v="8"/>
    <x v="2"/>
  </r>
  <r>
    <x v="1492"/>
    <x v="3"/>
    <x v="21"/>
    <n v="32.4"/>
    <n v="453.59999999999997"/>
    <x v="55"/>
    <d v="2025-02-28T00:00:00"/>
    <s v="M"/>
    <x v="4"/>
    <x v="0"/>
    <x v="0"/>
    <x v="6"/>
    <x v="2"/>
    <x v="8"/>
    <x v="1"/>
  </r>
  <r>
    <x v="1493"/>
    <x v="6"/>
    <x v="2"/>
    <n v="40.9"/>
    <n v="122.69999999999999"/>
    <x v="55"/>
    <d v="2025-02-25T00:00:00"/>
    <s v=""/>
    <x v="1"/>
    <x v="0"/>
    <x v="0"/>
    <x v="8"/>
    <x v="7"/>
    <x v="8"/>
    <x v="0"/>
  </r>
  <r>
    <x v="1494"/>
    <x v="7"/>
    <x v="3"/>
    <n v="76.2"/>
    <n v="533.4"/>
    <x v="55"/>
    <d v="2025-02-27T00:00:00"/>
    <s v="F"/>
    <x v="2"/>
    <x v="1"/>
    <x v="0"/>
    <x v="8"/>
    <x v="1"/>
    <x v="8"/>
    <x v="2"/>
  </r>
  <r>
    <x v="1495"/>
    <x v="2"/>
    <x v="0"/>
    <n v="85.6"/>
    <n v="85.6"/>
    <x v="55"/>
    <d v="2025-02-27T00:00:00"/>
    <s v="M"/>
    <x v="2"/>
    <x v="0"/>
    <x v="0"/>
    <x v="8"/>
    <x v="1"/>
    <x v="8"/>
    <x v="1"/>
  </r>
  <r>
    <x v="1496"/>
    <x v="4"/>
    <x v="12"/>
    <n v="25"/>
    <n v="100"/>
    <x v="55"/>
    <d v="2025-02-27T00:00:00"/>
    <s v="F"/>
    <x v="2"/>
    <x v="2"/>
    <x v="0"/>
    <x v="8"/>
    <x v="1"/>
    <x v="8"/>
    <x v="2"/>
  </r>
  <r>
    <x v="1497"/>
    <x v="2"/>
    <x v="9"/>
    <n v="150.69999999999999"/>
    <n v="753.5"/>
    <x v="55"/>
    <d v="2025-02-26T00:00:00"/>
    <s v=""/>
    <x v="0"/>
    <x v="2"/>
    <x v="0"/>
    <x v="8"/>
    <x v="3"/>
    <x v="8"/>
    <x v="0"/>
  </r>
  <r>
    <x v="1498"/>
    <x v="8"/>
    <x v="0"/>
    <n v="19.600000000000001"/>
    <n v="19.600000000000001"/>
    <x v="55"/>
    <d v="2025-02-26T00:00:00"/>
    <s v="M"/>
    <x v="1"/>
    <x v="4"/>
    <x v="0"/>
    <x v="8"/>
    <x v="3"/>
    <x v="8"/>
    <x v="1"/>
  </r>
  <r>
    <x v="1499"/>
    <x v="13"/>
    <x v="1"/>
    <n v="37.5"/>
    <n v="75"/>
    <x v="55"/>
    <d v="2025-02-28T00:00:00"/>
    <s v="F"/>
    <x v="1"/>
    <x v="2"/>
    <x v="0"/>
    <x v="17"/>
    <x v="2"/>
    <x v="8"/>
    <x v="2"/>
  </r>
  <r>
    <x v="1500"/>
    <x v="9"/>
    <x v="2"/>
    <n v="51.9"/>
    <n v="155.69999999999999"/>
    <x v="55"/>
    <d v="2025-03-03T00:00:00"/>
    <s v="F"/>
    <x v="0"/>
    <x v="4"/>
    <x v="0"/>
    <x v="11"/>
    <x v="4"/>
    <x v="8"/>
    <x v="2"/>
  </r>
  <r>
    <x v="1501"/>
    <x v="1"/>
    <x v="1"/>
    <n v="30.9"/>
    <n v="61.8"/>
    <x v="55"/>
    <d v="2025-02-27T00:00:00"/>
    <s v="F"/>
    <x v="1"/>
    <x v="0"/>
    <x v="0"/>
    <x v="18"/>
    <x v="1"/>
    <x v="8"/>
    <x v="2"/>
  </r>
  <r>
    <x v="1502"/>
    <x v="4"/>
    <x v="2"/>
    <n v="21.2"/>
    <n v="63.599999999999994"/>
    <x v="55"/>
    <d v="2025-02-28T00:00:00"/>
    <s v="F"/>
    <x v="1"/>
    <x v="0"/>
    <x v="0"/>
    <x v="19"/>
    <x v="2"/>
    <x v="8"/>
    <x v="2"/>
  </r>
  <r>
    <x v="1503"/>
    <x v="13"/>
    <x v="14"/>
    <n v="17.5"/>
    <n v="297.5"/>
    <x v="55"/>
    <d v="2025-02-26T00:00:00"/>
    <s v="M"/>
    <x v="1"/>
    <x v="1"/>
    <x v="0"/>
    <x v="13"/>
    <x v="3"/>
    <x v="8"/>
    <x v="1"/>
  </r>
  <r>
    <x v="1504"/>
    <x v="12"/>
    <x v="1"/>
    <n v="53.8"/>
    <n v="107.6"/>
    <x v="55"/>
    <d v="2025-03-02T00:00:00"/>
    <s v="F"/>
    <x v="0"/>
    <x v="2"/>
    <x v="0"/>
    <x v="21"/>
    <x v="0"/>
    <x v="8"/>
    <x v="2"/>
  </r>
  <r>
    <x v="1505"/>
    <x v="19"/>
    <x v="1"/>
    <n v="17"/>
    <n v="34"/>
    <x v="55"/>
    <d v="2025-02-26T00:00:00"/>
    <s v="M"/>
    <x v="3"/>
    <x v="0"/>
    <x v="0"/>
    <x v="21"/>
    <x v="3"/>
    <x v="8"/>
    <x v="1"/>
  </r>
  <r>
    <x v="1506"/>
    <x v="6"/>
    <x v="0"/>
    <n v="103.2"/>
    <n v="103.2"/>
    <x v="55"/>
    <d v="2025-03-05T00:00:00"/>
    <s v="M"/>
    <x v="2"/>
    <x v="1"/>
    <x v="0"/>
    <x v="1"/>
    <x v="9"/>
    <x v="8"/>
    <x v="1"/>
  </r>
  <r>
    <x v="1507"/>
    <x v="6"/>
    <x v="12"/>
    <n v="70.3"/>
    <n v="281.2"/>
    <x v="55"/>
    <d v="2025-02-26T00:00:00"/>
    <s v="M"/>
    <x v="0"/>
    <x v="0"/>
    <x v="0"/>
    <x v="3"/>
    <x v="3"/>
    <x v="8"/>
    <x v="1"/>
  </r>
  <r>
    <x v="1508"/>
    <x v="2"/>
    <x v="1"/>
    <n v="73.8"/>
    <n v="147.6"/>
    <x v="55"/>
    <d v="2025-02-25T00:00:00"/>
    <s v="M"/>
    <x v="3"/>
    <x v="2"/>
    <x v="0"/>
    <x v="3"/>
    <x v="7"/>
    <x v="8"/>
    <x v="1"/>
  </r>
  <r>
    <x v="1509"/>
    <x v="1"/>
    <x v="4"/>
    <n v="67.7"/>
    <n v="812.40000000000009"/>
    <x v="55"/>
    <d v="2025-03-01T00:00:00"/>
    <s v="M"/>
    <x v="1"/>
    <x v="1"/>
    <x v="0"/>
    <x v="3"/>
    <x v="5"/>
    <x v="8"/>
    <x v="1"/>
  </r>
  <r>
    <x v="1510"/>
    <x v="13"/>
    <x v="3"/>
    <n v="43.8"/>
    <n v="306.59999999999997"/>
    <x v="55"/>
    <d v="2025-02-27T00:00:00"/>
    <s v="M"/>
    <x v="1"/>
    <x v="0"/>
    <x v="0"/>
    <x v="3"/>
    <x v="1"/>
    <x v="8"/>
    <x v="1"/>
  </r>
  <r>
    <x v="1511"/>
    <x v="17"/>
    <x v="13"/>
    <n v="71.900000000000006"/>
    <n v="431.40000000000003"/>
    <x v="55"/>
    <d v="2025-02-26T00:00:00"/>
    <s v="F"/>
    <x v="2"/>
    <x v="0"/>
    <x v="0"/>
    <x v="3"/>
    <x v="3"/>
    <x v="8"/>
    <x v="2"/>
  </r>
  <r>
    <x v="1512"/>
    <x v="8"/>
    <x v="1"/>
    <n v="26.3"/>
    <n v="52.6"/>
    <x v="56"/>
    <d v="2025-02-28T00:00:00"/>
    <s v="F"/>
    <x v="0"/>
    <x v="1"/>
    <x v="0"/>
    <x v="3"/>
    <x v="1"/>
    <x v="8"/>
    <x v="2"/>
  </r>
  <r>
    <x v="1513"/>
    <x v="6"/>
    <x v="12"/>
    <n v="52.6"/>
    <n v="210.4"/>
    <x v="56"/>
    <d v="2025-02-28T00:00:00"/>
    <s v="F"/>
    <x v="2"/>
    <x v="1"/>
    <x v="0"/>
    <x v="3"/>
    <x v="1"/>
    <x v="8"/>
    <x v="2"/>
  </r>
  <r>
    <x v="1514"/>
    <x v="10"/>
    <x v="0"/>
    <n v="32.700000000000003"/>
    <n v="32.700000000000003"/>
    <x v="56"/>
    <d v="2025-03-05T00:00:00"/>
    <s v="F"/>
    <x v="0"/>
    <x v="2"/>
    <x v="0"/>
    <x v="3"/>
    <x v="6"/>
    <x v="8"/>
    <x v="2"/>
  </r>
  <r>
    <x v="1515"/>
    <x v="5"/>
    <x v="12"/>
    <n v="38.9"/>
    <n v="155.6"/>
    <x v="56"/>
    <d v="2025-02-27T00:00:00"/>
    <s v="F"/>
    <x v="0"/>
    <x v="0"/>
    <x v="0"/>
    <x v="3"/>
    <x v="3"/>
    <x v="8"/>
    <x v="2"/>
  </r>
  <r>
    <x v="1516"/>
    <x v="9"/>
    <x v="9"/>
    <n v="35"/>
    <n v="175"/>
    <x v="56"/>
    <d v="2025-02-28T00:00:00"/>
    <s v="M"/>
    <x v="0"/>
    <x v="0"/>
    <x v="0"/>
    <x v="3"/>
    <x v="1"/>
    <x v="8"/>
    <x v="1"/>
  </r>
  <r>
    <x v="1517"/>
    <x v="2"/>
    <x v="1"/>
    <n v="121"/>
    <n v="242"/>
    <x v="56"/>
    <d v="2025-02-27T00:00:00"/>
    <s v="F"/>
    <x v="1"/>
    <x v="1"/>
    <x v="0"/>
    <x v="3"/>
    <x v="3"/>
    <x v="8"/>
    <x v="2"/>
  </r>
  <r>
    <x v="1518"/>
    <x v="6"/>
    <x v="2"/>
    <n v="65.099999999999994"/>
    <n v="195.29999999999998"/>
    <x v="56"/>
    <d v="2025-03-02T00:00:00"/>
    <s v="M"/>
    <x v="2"/>
    <x v="0"/>
    <x v="0"/>
    <x v="36"/>
    <x v="5"/>
    <x v="8"/>
    <x v="1"/>
  </r>
  <r>
    <x v="1519"/>
    <x v="1"/>
    <x v="38"/>
    <n v="63.8"/>
    <n v="1339.8"/>
    <x v="56"/>
    <d v="2025-02-28T00:00:00"/>
    <s v="F"/>
    <x v="0"/>
    <x v="0"/>
    <x v="0"/>
    <x v="8"/>
    <x v="1"/>
    <x v="8"/>
    <x v="2"/>
  </r>
  <r>
    <x v="1520"/>
    <x v="7"/>
    <x v="0"/>
    <n v="77.7"/>
    <n v="77.7"/>
    <x v="56"/>
    <d v="2025-02-28T00:00:00"/>
    <s v="M"/>
    <x v="0"/>
    <x v="0"/>
    <x v="0"/>
    <x v="8"/>
    <x v="1"/>
    <x v="8"/>
    <x v="1"/>
  </r>
  <r>
    <x v="1521"/>
    <x v="5"/>
    <x v="12"/>
    <n v="60.3"/>
    <n v="241.2"/>
    <x v="56"/>
    <d v="2025-02-26T00:00:00"/>
    <s v="M"/>
    <x v="0"/>
    <x v="2"/>
    <x v="0"/>
    <x v="8"/>
    <x v="7"/>
    <x v="8"/>
    <x v="1"/>
  </r>
  <r>
    <x v="1522"/>
    <x v="5"/>
    <x v="1"/>
    <n v="124.1"/>
    <n v="248.2"/>
    <x v="56"/>
    <d v="2025-03-01T00:00:00"/>
    <s v="F"/>
    <x v="0"/>
    <x v="2"/>
    <x v="0"/>
    <x v="8"/>
    <x v="2"/>
    <x v="8"/>
    <x v="2"/>
  </r>
  <r>
    <x v="1523"/>
    <x v="16"/>
    <x v="3"/>
    <n v="66"/>
    <n v="462"/>
    <x v="56"/>
    <d v="2025-02-26T00:00:00"/>
    <s v=""/>
    <x v="3"/>
    <x v="0"/>
    <x v="0"/>
    <x v="17"/>
    <x v="7"/>
    <x v="8"/>
    <x v="0"/>
  </r>
  <r>
    <x v="1524"/>
    <x v="2"/>
    <x v="42"/>
    <n v="118.2"/>
    <n v="7446.6"/>
    <x v="56"/>
    <d v="2025-03-03T00:00:00"/>
    <s v=""/>
    <x v="0"/>
    <x v="0"/>
    <x v="0"/>
    <x v="17"/>
    <x v="0"/>
    <x v="8"/>
    <x v="0"/>
  </r>
  <r>
    <x v="1525"/>
    <x v="5"/>
    <x v="9"/>
    <n v="64.3"/>
    <n v="321.5"/>
    <x v="56"/>
    <d v="2025-02-27T00:00:00"/>
    <s v="M"/>
    <x v="4"/>
    <x v="4"/>
    <x v="0"/>
    <x v="26"/>
    <x v="3"/>
    <x v="8"/>
    <x v="1"/>
  </r>
  <r>
    <x v="1526"/>
    <x v="1"/>
    <x v="1"/>
    <n v="54.8"/>
    <n v="109.6"/>
    <x v="56"/>
    <d v="2025-02-26T00:00:00"/>
    <s v="M"/>
    <x v="0"/>
    <x v="1"/>
    <x v="0"/>
    <x v="26"/>
    <x v="7"/>
    <x v="8"/>
    <x v="1"/>
  </r>
  <r>
    <x v="1527"/>
    <x v="7"/>
    <x v="1"/>
    <n v="78.599999999999994"/>
    <n v="157.19999999999999"/>
    <x v="56"/>
    <d v="2025-02-27T00:00:00"/>
    <s v="M"/>
    <x v="0"/>
    <x v="2"/>
    <x v="0"/>
    <x v="9"/>
    <x v="3"/>
    <x v="8"/>
    <x v="1"/>
  </r>
  <r>
    <x v="1528"/>
    <x v="2"/>
    <x v="9"/>
    <n v="158.5"/>
    <n v="792.5"/>
    <x v="56"/>
    <d v="2025-02-28T00:00:00"/>
    <s v=""/>
    <x v="2"/>
    <x v="2"/>
    <x v="0"/>
    <x v="9"/>
    <x v="1"/>
    <x v="8"/>
    <x v="0"/>
  </r>
  <r>
    <x v="1529"/>
    <x v="4"/>
    <x v="7"/>
    <n v="23.5"/>
    <n v="235"/>
    <x v="56"/>
    <d v="2025-03-01T00:00:00"/>
    <s v="M"/>
    <x v="0"/>
    <x v="4"/>
    <x v="0"/>
    <x v="10"/>
    <x v="2"/>
    <x v="8"/>
    <x v="1"/>
  </r>
  <r>
    <x v="1530"/>
    <x v="5"/>
    <x v="1"/>
    <n v="32.1"/>
    <n v="64.2"/>
    <x v="56"/>
    <d v="2025-02-28T00:00:00"/>
    <s v=""/>
    <x v="3"/>
    <x v="0"/>
    <x v="0"/>
    <x v="10"/>
    <x v="1"/>
    <x v="8"/>
    <x v="0"/>
  </r>
  <r>
    <x v="1531"/>
    <x v="17"/>
    <x v="12"/>
    <n v="71.900000000000006"/>
    <n v="287.60000000000002"/>
    <x v="56"/>
    <d v="2025-02-26T00:00:00"/>
    <s v="M"/>
    <x v="2"/>
    <x v="0"/>
    <x v="0"/>
    <x v="19"/>
    <x v="7"/>
    <x v="8"/>
    <x v="1"/>
  </r>
  <r>
    <x v="1532"/>
    <x v="4"/>
    <x v="13"/>
    <n v="22.3"/>
    <n v="133.80000000000001"/>
    <x v="56"/>
    <d v="2025-02-27T00:00:00"/>
    <s v=""/>
    <x v="3"/>
    <x v="2"/>
    <x v="0"/>
    <x v="13"/>
    <x v="3"/>
    <x v="8"/>
    <x v="0"/>
  </r>
  <r>
    <x v="1533"/>
    <x v="11"/>
    <x v="1"/>
    <n v="29.5"/>
    <n v="59"/>
    <x v="56"/>
    <d v="2025-02-27T00:00:00"/>
    <s v="F"/>
    <x v="0"/>
    <x v="2"/>
    <x v="0"/>
    <x v="13"/>
    <x v="3"/>
    <x v="8"/>
    <x v="2"/>
  </r>
  <r>
    <x v="1534"/>
    <x v="6"/>
    <x v="12"/>
    <n v="41.9"/>
    <n v="167.6"/>
    <x v="56"/>
    <d v="2025-03-02T00:00:00"/>
    <s v="F"/>
    <x v="0"/>
    <x v="1"/>
    <x v="0"/>
    <x v="21"/>
    <x v="5"/>
    <x v="8"/>
    <x v="2"/>
  </r>
  <r>
    <x v="1535"/>
    <x v="6"/>
    <x v="2"/>
    <n v="107.8"/>
    <n v="323.39999999999998"/>
    <x v="56"/>
    <d v="2025-02-27T00:00:00"/>
    <s v="M"/>
    <x v="1"/>
    <x v="2"/>
    <x v="0"/>
    <x v="46"/>
    <x v="3"/>
    <x v="8"/>
    <x v="1"/>
  </r>
  <r>
    <x v="1536"/>
    <x v="4"/>
    <x v="9"/>
    <n v="18.100000000000001"/>
    <n v="90.5"/>
    <x v="56"/>
    <d v="2025-03-01T00:00:00"/>
    <s v="M"/>
    <x v="0"/>
    <x v="2"/>
    <x v="0"/>
    <x v="2"/>
    <x v="2"/>
    <x v="8"/>
    <x v="1"/>
  </r>
  <r>
    <x v="1537"/>
    <x v="12"/>
    <x v="11"/>
    <n v="79.8"/>
    <n v="718.19999999999993"/>
    <x v="56"/>
    <d v="2025-02-27T00:00:00"/>
    <s v="F"/>
    <x v="1"/>
    <x v="1"/>
    <x v="0"/>
    <x v="22"/>
    <x v="3"/>
    <x v="8"/>
    <x v="2"/>
  </r>
  <r>
    <x v="1538"/>
    <x v="0"/>
    <x v="2"/>
    <n v="22.3"/>
    <n v="66.900000000000006"/>
    <x v="56"/>
    <d v="2025-03-01T00:00:00"/>
    <s v="F"/>
    <x v="0"/>
    <x v="2"/>
    <x v="0"/>
    <x v="22"/>
    <x v="2"/>
    <x v="8"/>
    <x v="2"/>
  </r>
  <r>
    <x v="1539"/>
    <x v="8"/>
    <x v="0"/>
    <n v="22.9"/>
    <n v="22.9"/>
    <x v="56"/>
    <d v="2025-02-26T00:00:00"/>
    <s v="F"/>
    <x v="1"/>
    <x v="0"/>
    <x v="0"/>
    <x v="22"/>
    <x v="7"/>
    <x v="8"/>
    <x v="2"/>
  </r>
  <r>
    <x v="1540"/>
    <x v="0"/>
    <x v="2"/>
    <n v="16.2"/>
    <n v="48.599999999999994"/>
    <x v="57"/>
    <d v="2025-02-27T00:00:00"/>
    <s v="M"/>
    <x v="4"/>
    <x v="2"/>
    <x v="0"/>
    <x v="3"/>
    <x v="7"/>
    <x v="8"/>
    <x v="1"/>
  </r>
  <r>
    <x v="1541"/>
    <x v="10"/>
    <x v="12"/>
    <n v="59.5"/>
    <n v="238"/>
    <x v="57"/>
    <d v="2025-02-28T00:00:00"/>
    <s v="M"/>
    <x v="1"/>
    <x v="2"/>
    <x v="0"/>
    <x v="3"/>
    <x v="3"/>
    <x v="8"/>
    <x v="1"/>
  </r>
  <r>
    <x v="1542"/>
    <x v="18"/>
    <x v="9"/>
    <n v="26.2"/>
    <n v="131"/>
    <x v="57"/>
    <d v="2025-03-02T00:00:00"/>
    <s v="M"/>
    <x v="3"/>
    <x v="4"/>
    <x v="0"/>
    <x v="3"/>
    <x v="2"/>
    <x v="8"/>
    <x v="1"/>
  </r>
  <r>
    <x v="1543"/>
    <x v="3"/>
    <x v="0"/>
    <n v="44.2"/>
    <n v="44.2"/>
    <x v="57"/>
    <d v="2025-03-02T00:00:00"/>
    <s v="F"/>
    <x v="1"/>
    <x v="0"/>
    <x v="0"/>
    <x v="3"/>
    <x v="2"/>
    <x v="8"/>
    <x v="2"/>
  </r>
  <r>
    <x v="1544"/>
    <x v="9"/>
    <x v="1"/>
    <n v="59.2"/>
    <n v="118.4"/>
    <x v="57"/>
    <d v="2025-02-27T00:00:00"/>
    <s v="F"/>
    <x v="1"/>
    <x v="4"/>
    <x v="0"/>
    <x v="3"/>
    <x v="7"/>
    <x v="8"/>
    <x v="2"/>
  </r>
  <r>
    <x v="1545"/>
    <x v="15"/>
    <x v="12"/>
    <n v="41.5"/>
    <n v="166"/>
    <x v="57"/>
    <d v="2025-03-01T00:00:00"/>
    <s v="F"/>
    <x v="0"/>
    <x v="0"/>
    <x v="0"/>
    <x v="16"/>
    <x v="1"/>
    <x v="8"/>
    <x v="2"/>
  </r>
  <r>
    <x v="1546"/>
    <x v="6"/>
    <x v="4"/>
    <n v="67.099999999999994"/>
    <n v="805.19999999999993"/>
    <x v="57"/>
    <d v="2025-03-13T00:00:00"/>
    <s v="F"/>
    <x v="0"/>
    <x v="2"/>
    <x v="0"/>
    <x v="23"/>
    <x v="12"/>
    <x v="8"/>
    <x v="2"/>
  </r>
  <r>
    <x v="1547"/>
    <x v="8"/>
    <x v="1"/>
    <n v="28.7"/>
    <n v="57.4"/>
    <x v="57"/>
    <d v="2025-03-03T00:00:00"/>
    <s v="F"/>
    <x v="1"/>
    <x v="0"/>
    <x v="0"/>
    <x v="6"/>
    <x v="5"/>
    <x v="8"/>
    <x v="2"/>
  </r>
  <r>
    <x v="1548"/>
    <x v="2"/>
    <x v="12"/>
    <n v="132.1"/>
    <n v="528.4"/>
    <x v="57"/>
    <d v="2025-02-28T00:00:00"/>
    <s v="F"/>
    <x v="0"/>
    <x v="1"/>
    <x v="0"/>
    <x v="6"/>
    <x v="3"/>
    <x v="8"/>
    <x v="2"/>
  </r>
  <r>
    <x v="1549"/>
    <x v="18"/>
    <x v="1"/>
    <n v="47"/>
    <n v="94"/>
    <x v="57"/>
    <d v="2025-03-01T00:00:00"/>
    <s v="M"/>
    <x v="4"/>
    <x v="0"/>
    <x v="0"/>
    <x v="8"/>
    <x v="1"/>
    <x v="8"/>
    <x v="1"/>
  </r>
  <r>
    <x v="1550"/>
    <x v="8"/>
    <x v="1"/>
    <n v="41.6"/>
    <n v="83.2"/>
    <x v="57"/>
    <d v="2025-03-03T00:00:00"/>
    <s v="M"/>
    <x v="1"/>
    <x v="2"/>
    <x v="0"/>
    <x v="8"/>
    <x v="5"/>
    <x v="8"/>
    <x v="1"/>
  </r>
  <r>
    <x v="1551"/>
    <x v="8"/>
    <x v="43"/>
    <n v="17.3"/>
    <n v="657.4"/>
    <x v="57"/>
    <d v="2025-03-01T00:00:00"/>
    <s v="M"/>
    <x v="2"/>
    <x v="2"/>
    <x v="0"/>
    <x v="8"/>
    <x v="1"/>
    <x v="8"/>
    <x v="1"/>
  </r>
  <r>
    <x v="1552"/>
    <x v="13"/>
    <x v="2"/>
    <n v="41.8"/>
    <n v="125.39999999999999"/>
    <x v="57"/>
    <d v="2025-03-02T00:00:00"/>
    <s v="M"/>
    <x v="0"/>
    <x v="2"/>
    <x v="0"/>
    <x v="8"/>
    <x v="2"/>
    <x v="8"/>
    <x v="1"/>
  </r>
  <r>
    <x v="1553"/>
    <x v="10"/>
    <x v="0"/>
    <n v="24"/>
    <n v="24"/>
    <x v="57"/>
    <d v="2025-02-28T00:00:00"/>
    <s v="F"/>
    <x v="0"/>
    <x v="0"/>
    <x v="0"/>
    <x v="17"/>
    <x v="3"/>
    <x v="8"/>
    <x v="2"/>
  </r>
  <r>
    <x v="1554"/>
    <x v="14"/>
    <x v="11"/>
    <n v="18.5"/>
    <n v="166.5"/>
    <x v="57"/>
    <d v="2025-03-01T00:00:00"/>
    <s v="F"/>
    <x v="0"/>
    <x v="0"/>
    <x v="0"/>
    <x v="9"/>
    <x v="1"/>
    <x v="8"/>
    <x v="2"/>
  </r>
  <r>
    <x v="1555"/>
    <x v="3"/>
    <x v="4"/>
    <n v="66.7"/>
    <n v="800.40000000000009"/>
    <x v="57"/>
    <d v="2025-03-02T00:00:00"/>
    <s v=""/>
    <x v="0"/>
    <x v="2"/>
    <x v="0"/>
    <x v="11"/>
    <x v="2"/>
    <x v="8"/>
    <x v="0"/>
  </r>
  <r>
    <x v="1556"/>
    <x v="1"/>
    <x v="12"/>
    <n v="33.1"/>
    <n v="132.4"/>
    <x v="57"/>
    <d v="2025-03-04T00:00:00"/>
    <s v="M"/>
    <x v="3"/>
    <x v="0"/>
    <x v="0"/>
    <x v="11"/>
    <x v="0"/>
    <x v="8"/>
    <x v="1"/>
  </r>
  <r>
    <x v="1557"/>
    <x v="19"/>
    <x v="11"/>
    <n v="42.1"/>
    <n v="378.90000000000003"/>
    <x v="57"/>
    <d v="2025-03-10T00:00:00"/>
    <s v="M"/>
    <x v="1"/>
    <x v="0"/>
    <x v="0"/>
    <x v="18"/>
    <x v="11"/>
    <x v="8"/>
    <x v="1"/>
  </r>
  <r>
    <x v="1558"/>
    <x v="18"/>
    <x v="3"/>
    <n v="58.7"/>
    <n v="410.90000000000003"/>
    <x v="57"/>
    <d v="2025-02-27T00:00:00"/>
    <s v="O"/>
    <x v="3"/>
    <x v="0"/>
    <x v="0"/>
    <x v="31"/>
    <x v="7"/>
    <x v="8"/>
    <x v="3"/>
  </r>
  <r>
    <x v="1559"/>
    <x v="6"/>
    <x v="12"/>
    <n v="54"/>
    <n v="216"/>
    <x v="57"/>
    <d v="2025-03-01T00:00:00"/>
    <s v="F"/>
    <x v="1"/>
    <x v="0"/>
    <x v="0"/>
    <x v="1"/>
    <x v="1"/>
    <x v="8"/>
    <x v="2"/>
  </r>
  <r>
    <x v="1560"/>
    <x v="8"/>
    <x v="0"/>
    <n v="52.1"/>
    <n v="52.1"/>
    <x v="57"/>
    <d v="2025-02-28T00:00:00"/>
    <s v="F"/>
    <x v="2"/>
    <x v="2"/>
    <x v="0"/>
    <x v="2"/>
    <x v="3"/>
    <x v="8"/>
    <x v="2"/>
  </r>
  <r>
    <x v="1561"/>
    <x v="19"/>
    <x v="1"/>
    <n v="27"/>
    <n v="54"/>
    <x v="57"/>
    <d v="2025-03-02T00:00:00"/>
    <s v="O"/>
    <x v="2"/>
    <x v="0"/>
    <x v="0"/>
    <x v="22"/>
    <x v="2"/>
    <x v="8"/>
    <x v="3"/>
  </r>
  <r>
    <x v="1562"/>
    <x v="12"/>
    <x v="7"/>
    <n v="31"/>
    <n v="310"/>
    <x v="58"/>
    <d v="2025-03-01T00:00:00"/>
    <s v="F"/>
    <x v="3"/>
    <x v="2"/>
    <x v="0"/>
    <x v="22"/>
    <x v="3"/>
    <x v="8"/>
    <x v="2"/>
  </r>
  <r>
    <x v="1563"/>
    <x v="10"/>
    <x v="1"/>
    <n v="46.7"/>
    <n v="93.4"/>
    <x v="58"/>
    <d v="2025-02-28T00:00:00"/>
    <s v="F"/>
    <x v="0"/>
    <x v="0"/>
    <x v="0"/>
    <x v="34"/>
    <x v="7"/>
    <x v="8"/>
    <x v="2"/>
  </r>
  <r>
    <x v="1564"/>
    <x v="6"/>
    <x v="0"/>
    <n v="144.69999999999999"/>
    <n v="144.69999999999999"/>
    <x v="58"/>
    <d v="2025-03-03T00:00:00"/>
    <s v="M"/>
    <x v="0"/>
    <x v="2"/>
    <x v="0"/>
    <x v="3"/>
    <x v="2"/>
    <x v="8"/>
    <x v="1"/>
  </r>
  <r>
    <x v="1565"/>
    <x v="2"/>
    <x v="11"/>
    <n v="90.9"/>
    <n v="818.1"/>
    <x v="58"/>
    <d v="2025-03-01T00:00:00"/>
    <s v="M"/>
    <x v="0"/>
    <x v="2"/>
    <x v="0"/>
    <x v="3"/>
    <x v="3"/>
    <x v="8"/>
    <x v="1"/>
  </r>
  <r>
    <x v="1566"/>
    <x v="1"/>
    <x v="1"/>
    <n v="75.8"/>
    <n v="151.6"/>
    <x v="58"/>
    <d v="2025-03-01T00:00:00"/>
    <s v="F"/>
    <x v="2"/>
    <x v="1"/>
    <x v="0"/>
    <x v="3"/>
    <x v="3"/>
    <x v="8"/>
    <x v="2"/>
  </r>
  <r>
    <x v="1567"/>
    <x v="7"/>
    <x v="9"/>
    <n v="57.9"/>
    <n v="289.5"/>
    <x v="58"/>
    <d v="2025-03-02T00:00:00"/>
    <s v="M"/>
    <x v="2"/>
    <x v="2"/>
    <x v="0"/>
    <x v="3"/>
    <x v="1"/>
    <x v="8"/>
    <x v="1"/>
  </r>
  <r>
    <x v="1568"/>
    <x v="8"/>
    <x v="9"/>
    <n v="44.8"/>
    <n v="224"/>
    <x v="58"/>
    <d v="2025-03-01T00:00:00"/>
    <s v="F"/>
    <x v="3"/>
    <x v="2"/>
    <x v="0"/>
    <x v="3"/>
    <x v="3"/>
    <x v="8"/>
    <x v="2"/>
  </r>
  <r>
    <x v="1569"/>
    <x v="9"/>
    <x v="2"/>
    <n v="44.2"/>
    <n v="132.60000000000002"/>
    <x v="58"/>
    <d v="2025-03-04T00:00:00"/>
    <s v="M"/>
    <x v="2"/>
    <x v="2"/>
    <x v="0"/>
    <x v="3"/>
    <x v="5"/>
    <x v="8"/>
    <x v="1"/>
  </r>
  <r>
    <x v="1570"/>
    <x v="5"/>
    <x v="9"/>
    <n v="53.5"/>
    <n v="267.5"/>
    <x v="58"/>
    <d v="2025-03-02T00:00:00"/>
    <s v="M"/>
    <x v="0"/>
    <x v="0"/>
    <x v="0"/>
    <x v="37"/>
    <x v="1"/>
    <x v="8"/>
    <x v="1"/>
  </r>
  <r>
    <x v="1571"/>
    <x v="6"/>
    <x v="1"/>
    <n v="72.2"/>
    <n v="144.4"/>
    <x v="58"/>
    <d v="2025-03-01T00:00:00"/>
    <s v="M"/>
    <x v="0"/>
    <x v="2"/>
    <x v="0"/>
    <x v="25"/>
    <x v="3"/>
    <x v="8"/>
    <x v="1"/>
  </r>
  <r>
    <x v="1572"/>
    <x v="6"/>
    <x v="12"/>
    <n v="62.4"/>
    <n v="249.6"/>
    <x v="58"/>
    <d v="2025-03-03T00:00:00"/>
    <s v="F"/>
    <x v="0"/>
    <x v="1"/>
    <x v="0"/>
    <x v="23"/>
    <x v="2"/>
    <x v="8"/>
    <x v="2"/>
  </r>
  <r>
    <x v="1573"/>
    <x v="10"/>
    <x v="9"/>
    <n v="24.7"/>
    <n v="123.5"/>
    <x v="58"/>
    <d v="2025-03-01T00:00:00"/>
    <s v="F"/>
    <x v="0"/>
    <x v="0"/>
    <x v="0"/>
    <x v="6"/>
    <x v="3"/>
    <x v="8"/>
    <x v="2"/>
  </r>
  <r>
    <x v="1574"/>
    <x v="1"/>
    <x v="9"/>
    <n v="61.7"/>
    <n v="308.5"/>
    <x v="58"/>
    <d v="2025-03-02T00:00:00"/>
    <s v="F"/>
    <x v="2"/>
    <x v="0"/>
    <x v="0"/>
    <x v="8"/>
    <x v="1"/>
    <x v="8"/>
    <x v="2"/>
  </r>
  <r>
    <x v="1575"/>
    <x v="8"/>
    <x v="9"/>
    <n v="18.2"/>
    <n v="91"/>
    <x v="58"/>
    <d v="2025-03-02T00:00:00"/>
    <s v="F"/>
    <x v="3"/>
    <x v="0"/>
    <x v="0"/>
    <x v="8"/>
    <x v="1"/>
    <x v="8"/>
    <x v="2"/>
  </r>
  <r>
    <x v="1576"/>
    <x v="10"/>
    <x v="12"/>
    <n v="37.200000000000003"/>
    <n v="148.80000000000001"/>
    <x v="58"/>
    <d v="2025-03-06T00:00:00"/>
    <s v="F"/>
    <x v="0"/>
    <x v="0"/>
    <x v="0"/>
    <x v="8"/>
    <x v="4"/>
    <x v="8"/>
    <x v="2"/>
  </r>
  <r>
    <x v="1577"/>
    <x v="9"/>
    <x v="2"/>
    <n v="53.5"/>
    <n v="160.5"/>
    <x v="58"/>
    <d v="2025-03-02T00:00:00"/>
    <s v="F"/>
    <x v="1"/>
    <x v="2"/>
    <x v="0"/>
    <x v="9"/>
    <x v="1"/>
    <x v="8"/>
    <x v="2"/>
  </r>
  <r>
    <x v="1578"/>
    <x v="8"/>
    <x v="2"/>
    <n v="43.6"/>
    <n v="130.80000000000001"/>
    <x v="58"/>
    <d v="2025-02-28T00:00:00"/>
    <s v="F"/>
    <x v="0"/>
    <x v="0"/>
    <x v="0"/>
    <x v="9"/>
    <x v="7"/>
    <x v="8"/>
    <x v="2"/>
  </r>
  <r>
    <x v="1579"/>
    <x v="1"/>
    <x v="7"/>
    <n v="135"/>
    <n v="1350"/>
    <x v="58"/>
    <d v="2025-03-02T00:00:00"/>
    <s v="F"/>
    <x v="0"/>
    <x v="2"/>
    <x v="0"/>
    <x v="9"/>
    <x v="1"/>
    <x v="8"/>
    <x v="2"/>
  </r>
  <r>
    <x v="1580"/>
    <x v="8"/>
    <x v="9"/>
    <n v="38.5"/>
    <n v="192.5"/>
    <x v="58"/>
    <d v="2025-02-28T00:00:00"/>
    <s v="M"/>
    <x v="4"/>
    <x v="2"/>
    <x v="0"/>
    <x v="10"/>
    <x v="7"/>
    <x v="8"/>
    <x v="1"/>
  </r>
  <r>
    <x v="1581"/>
    <x v="9"/>
    <x v="1"/>
    <n v="24"/>
    <n v="48"/>
    <x v="58"/>
    <d v="2025-03-05T00:00:00"/>
    <s v="F"/>
    <x v="0"/>
    <x v="0"/>
    <x v="0"/>
    <x v="11"/>
    <x v="0"/>
    <x v="8"/>
    <x v="2"/>
  </r>
  <r>
    <x v="1582"/>
    <x v="4"/>
    <x v="2"/>
    <n v="28.2"/>
    <n v="84.6"/>
    <x v="58"/>
    <d v="2025-03-02T00:00:00"/>
    <s v="M"/>
    <x v="0"/>
    <x v="3"/>
    <x v="0"/>
    <x v="18"/>
    <x v="1"/>
    <x v="8"/>
    <x v="1"/>
  </r>
  <r>
    <x v="1583"/>
    <x v="7"/>
    <x v="2"/>
    <n v="37.4"/>
    <n v="112.19999999999999"/>
    <x v="58"/>
    <d v="2025-03-01T00:00:00"/>
    <s v="F"/>
    <x v="3"/>
    <x v="0"/>
    <x v="0"/>
    <x v="1"/>
    <x v="3"/>
    <x v="8"/>
    <x v="2"/>
  </r>
  <r>
    <x v="1584"/>
    <x v="6"/>
    <x v="2"/>
    <n v="53.5"/>
    <n v="160.5"/>
    <x v="58"/>
    <d v="2025-03-03T00:00:00"/>
    <s v=""/>
    <x v="4"/>
    <x v="4"/>
    <x v="0"/>
    <x v="1"/>
    <x v="2"/>
    <x v="8"/>
    <x v="0"/>
  </r>
  <r>
    <x v="1585"/>
    <x v="11"/>
    <x v="9"/>
    <n v="36.200000000000003"/>
    <n v="181"/>
    <x v="58"/>
    <d v="2025-03-01T00:00:00"/>
    <s v="M"/>
    <x v="1"/>
    <x v="2"/>
    <x v="0"/>
    <x v="33"/>
    <x v="3"/>
    <x v="8"/>
    <x v="1"/>
  </r>
  <r>
    <x v="1586"/>
    <x v="0"/>
    <x v="8"/>
    <n v="31.9"/>
    <n v="255.2"/>
    <x v="58"/>
    <d v="2025-03-01T00:00:00"/>
    <s v="F"/>
    <x v="4"/>
    <x v="0"/>
    <x v="0"/>
    <x v="3"/>
    <x v="3"/>
    <x v="8"/>
    <x v="2"/>
  </r>
  <r>
    <x v="1587"/>
    <x v="8"/>
    <x v="2"/>
    <n v="21.3"/>
    <n v="63.900000000000006"/>
    <x v="58"/>
    <d v="2025-03-01T00:00:00"/>
    <s v="M"/>
    <x v="0"/>
    <x v="2"/>
    <x v="0"/>
    <x v="3"/>
    <x v="3"/>
    <x v="8"/>
    <x v="1"/>
  </r>
  <r>
    <x v="1588"/>
    <x v="8"/>
    <x v="0"/>
    <n v="36.299999999999997"/>
    <n v="36.299999999999997"/>
    <x v="58"/>
    <d v="2025-03-02T00:00:00"/>
    <s v="O"/>
    <x v="4"/>
    <x v="0"/>
    <x v="0"/>
    <x v="3"/>
    <x v="1"/>
    <x v="8"/>
    <x v="3"/>
  </r>
  <r>
    <x v="1589"/>
    <x v="6"/>
    <x v="2"/>
    <n v="110.5"/>
    <n v="331.5"/>
    <x v="58"/>
    <d v="2025-03-01T00:00:00"/>
    <s v="F"/>
    <x v="0"/>
    <x v="3"/>
    <x v="0"/>
    <x v="3"/>
    <x v="3"/>
    <x v="8"/>
    <x v="2"/>
  </r>
  <r>
    <x v="1590"/>
    <x v="10"/>
    <x v="3"/>
    <n v="32.6"/>
    <n v="228.20000000000002"/>
    <x v="58"/>
    <d v="2025-03-02T00:00:00"/>
    <s v="F"/>
    <x v="0"/>
    <x v="1"/>
    <x v="0"/>
    <x v="3"/>
    <x v="1"/>
    <x v="8"/>
    <x v="2"/>
  </r>
  <r>
    <x v="1591"/>
    <x v="5"/>
    <x v="2"/>
    <n v="55.6"/>
    <n v="166.8"/>
    <x v="59"/>
    <d v="2025-03-14T00:00:00"/>
    <s v="F"/>
    <x v="0"/>
    <x v="0"/>
    <x v="0"/>
    <x v="3"/>
    <x v="10"/>
    <x v="8"/>
    <x v="2"/>
  </r>
  <r>
    <x v="1592"/>
    <x v="1"/>
    <x v="12"/>
    <n v="38"/>
    <n v="152"/>
    <x v="59"/>
    <d v="2025-03-02T00:00:00"/>
    <s v="F"/>
    <x v="3"/>
    <x v="2"/>
    <x v="0"/>
    <x v="5"/>
    <x v="3"/>
    <x v="8"/>
    <x v="2"/>
  </r>
  <r>
    <x v="1593"/>
    <x v="10"/>
    <x v="1"/>
    <n v="51.8"/>
    <n v="103.6"/>
    <x v="59"/>
    <d v="2025-03-07T00:00:00"/>
    <s v="M"/>
    <x v="1"/>
    <x v="4"/>
    <x v="0"/>
    <x v="6"/>
    <x v="4"/>
    <x v="8"/>
    <x v="1"/>
  </r>
  <r>
    <x v="1594"/>
    <x v="11"/>
    <x v="8"/>
    <n v="28.7"/>
    <n v="229.6"/>
    <x v="59"/>
    <d v="2025-03-06T00:00:00"/>
    <s v="F"/>
    <x v="0"/>
    <x v="0"/>
    <x v="0"/>
    <x v="6"/>
    <x v="0"/>
    <x v="8"/>
    <x v="2"/>
  </r>
  <r>
    <x v="1595"/>
    <x v="6"/>
    <x v="4"/>
    <n v="52.2"/>
    <n v="626.40000000000009"/>
    <x v="59"/>
    <d v="2025-03-01T00:00:00"/>
    <s v="M"/>
    <x v="0"/>
    <x v="1"/>
    <x v="0"/>
    <x v="6"/>
    <x v="7"/>
    <x v="8"/>
    <x v="1"/>
  </r>
  <r>
    <x v="1596"/>
    <x v="1"/>
    <x v="1"/>
    <n v="68.2"/>
    <n v="136.4"/>
    <x v="59"/>
    <d v="2025-03-02T00:00:00"/>
    <s v=""/>
    <x v="2"/>
    <x v="0"/>
    <x v="0"/>
    <x v="7"/>
    <x v="3"/>
    <x v="8"/>
    <x v="0"/>
  </r>
  <r>
    <x v="1597"/>
    <x v="0"/>
    <x v="2"/>
    <n v="34"/>
    <n v="102"/>
    <x v="59"/>
    <d v="2025-03-05T00:00:00"/>
    <s v="F"/>
    <x v="0"/>
    <x v="0"/>
    <x v="0"/>
    <x v="8"/>
    <x v="5"/>
    <x v="8"/>
    <x v="2"/>
  </r>
  <r>
    <x v="1598"/>
    <x v="8"/>
    <x v="2"/>
    <n v="19.100000000000001"/>
    <n v="57.300000000000004"/>
    <x v="59"/>
    <d v="2025-03-02T00:00:00"/>
    <s v="F"/>
    <x v="4"/>
    <x v="0"/>
    <x v="0"/>
    <x v="8"/>
    <x v="3"/>
    <x v="8"/>
    <x v="2"/>
  </r>
  <r>
    <x v="1599"/>
    <x v="5"/>
    <x v="8"/>
    <n v="34"/>
    <n v="272"/>
    <x v="59"/>
    <d v="2025-03-09T00:00:00"/>
    <s v="F"/>
    <x v="4"/>
    <x v="0"/>
    <x v="0"/>
    <x v="8"/>
    <x v="9"/>
    <x v="8"/>
    <x v="2"/>
  </r>
  <r>
    <x v="1600"/>
    <x v="12"/>
    <x v="1"/>
    <n v="109.1"/>
    <n v="218.2"/>
    <x v="59"/>
    <d v="2025-03-03T00:00:00"/>
    <s v="M"/>
    <x v="0"/>
    <x v="2"/>
    <x v="0"/>
    <x v="8"/>
    <x v="1"/>
    <x v="8"/>
    <x v="1"/>
  </r>
  <r>
    <x v="1601"/>
    <x v="18"/>
    <x v="1"/>
    <n v="64.8"/>
    <n v="129.6"/>
    <x v="59"/>
    <d v="2025-03-03T00:00:00"/>
    <s v="M"/>
    <x v="0"/>
    <x v="2"/>
    <x v="0"/>
    <x v="8"/>
    <x v="1"/>
    <x v="8"/>
    <x v="1"/>
  </r>
  <r>
    <x v="1602"/>
    <x v="10"/>
    <x v="1"/>
    <n v="21.1"/>
    <n v="42.2"/>
    <x v="59"/>
    <d v="2025-03-01T00:00:00"/>
    <s v="F"/>
    <x v="1"/>
    <x v="0"/>
    <x v="0"/>
    <x v="11"/>
    <x v="7"/>
    <x v="8"/>
    <x v="2"/>
  </r>
  <r>
    <x v="1603"/>
    <x v="0"/>
    <x v="8"/>
    <n v="21.3"/>
    <n v="170.4"/>
    <x v="59"/>
    <d v="2025-03-03T00:00:00"/>
    <s v="M"/>
    <x v="3"/>
    <x v="1"/>
    <x v="0"/>
    <x v="18"/>
    <x v="1"/>
    <x v="8"/>
    <x v="1"/>
  </r>
  <r>
    <x v="1604"/>
    <x v="9"/>
    <x v="2"/>
    <n v="24.3"/>
    <n v="72.900000000000006"/>
    <x v="59"/>
    <d v="2025-03-02T00:00:00"/>
    <s v="M"/>
    <x v="1"/>
    <x v="0"/>
    <x v="0"/>
    <x v="19"/>
    <x v="3"/>
    <x v="8"/>
    <x v="1"/>
  </r>
  <r>
    <x v="1605"/>
    <x v="8"/>
    <x v="0"/>
    <n v="43.3"/>
    <n v="43.3"/>
    <x v="59"/>
    <d v="2025-03-05T00:00:00"/>
    <s v="M"/>
    <x v="1"/>
    <x v="1"/>
    <x v="0"/>
    <x v="13"/>
    <x v="5"/>
    <x v="8"/>
    <x v="1"/>
  </r>
  <r>
    <x v="1606"/>
    <x v="9"/>
    <x v="2"/>
    <n v="41"/>
    <n v="123"/>
    <x v="59"/>
    <d v="2025-03-02T00:00:00"/>
    <s v="F"/>
    <x v="3"/>
    <x v="4"/>
    <x v="0"/>
    <x v="21"/>
    <x v="3"/>
    <x v="8"/>
    <x v="2"/>
  </r>
  <r>
    <x v="1607"/>
    <x v="16"/>
    <x v="2"/>
    <n v="54.1"/>
    <n v="162.30000000000001"/>
    <x v="59"/>
    <d v="2025-03-03T00:00:00"/>
    <s v="F"/>
    <x v="4"/>
    <x v="0"/>
    <x v="0"/>
    <x v="21"/>
    <x v="1"/>
    <x v="8"/>
    <x v="2"/>
  </r>
  <r>
    <x v="1608"/>
    <x v="11"/>
    <x v="1"/>
    <n v="39"/>
    <n v="78"/>
    <x v="59"/>
    <d v="2025-03-02T00:00:00"/>
    <s v="M"/>
    <x v="1"/>
    <x v="2"/>
    <x v="0"/>
    <x v="1"/>
    <x v="3"/>
    <x v="8"/>
    <x v="1"/>
  </r>
  <r>
    <x v="1609"/>
    <x v="8"/>
    <x v="1"/>
    <n v="40.299999999999997"/>
    <n v="80.599999999999994"/>
    <x v="59"/>
    <d v="2025-03-03T00:00:00"/>
    <s v="M"/>
    <x v="3"/>
    <x v="0"/>
    <x v="0"/>
    <x v="27"/>
    <x v="1"/>
    <x v="8"/>
    <x v="1"/>
  </r>
  <r>
    <x v="1610"/>
    <x v="8"/>
    <x v="2"/>
    <n v="24.1"/>
    <n v="72.300000000000011"/>
    <x v="59"/>
    <d v="2025-03-02T00:00:00"/>
    <s v="M"/>
    <x v="0"/>
    <x v="2"/>
    <x v="0"/>
    <x v="34"/>
    <x v="3"/>
    <x v="8"/>
    <x v="1"/>
  </r>
  <r>
    <x v="1611"/>
    <x v="6"/>
    <x v="9"/>
    <n v="52.3"/>
    <n v="261.5"/>
    <x v="59"/>
    <d v="2025-03-02T00:00:00"/>
    <s v="M"/>
    <x v="2"/>
    <x v="0"/>
    <x v="0"/>
    <x v="3"/>
    <x v="3"/>
    <x v="8"/>
    <x v="1"/>
  </r>
  <r>
    <x v="1612"/>
    <x v="12"/>
    <x v="12"/>
    <n v="68.8"/>
    <n v="275.2"/>
    <x v="59"/>
    <d v="2025-03-05T00:00:00"/>
    <s v="F"/>
    <x v="4"/>
    <x v="2"/>
    <x v="0"/>
    <x v="3"/>
    <x v="5"/>
    <x v="8"/>
    <x v="2"/>
  </r>
  <r>
    <x v="1613"/>
    <x v="2"/>
    <x v="1"/>
    <n v="128.80000000000001"/>
    <n v="257.60000000000002"/>
    <x v="60"/>
    <d v="2025-03-05T00:00:00"/>
    <s v="F"/>
    <x v="1"/>
    <x v="1"/>
    <x v="0"/>
    <x v="3"/>
    <x v="2"/>
    <x v="9"/>
    <x v="2"/>
  </r>
  <r>
    <x v="1614"/>
    <x v="15"/>
    <x v="9"/>
    <n v="48.2"/>
    <n v="241"/>
    <x v="60"/>
    <d v="2025-03-04T00:00:00"/>
    <s v="F"/>
    <x v="3"/>
    <x v="0"/>
    <x v="0"/>
    <x v="3"/>
    <x v="1"/>
    <x v="9"/>
    <x v="2"/>
  </r>
  <r>
    <x v="1615"/>
    <x v="10"/>
    <x v="0"/>
    <n v="39.700000000000003"/>
    <n v="39.700000000000003"/>
    <x v="60"/>
    <d v="2025-03-04T00:00:00"/>
    <s v="F"/>
    <x v="0"/>
    <x v="1"/>
    <x v="0"/>
    <x v="3"/>
    <x v="1"/>
    <x v="9"/>
    <x v="2"/>
  </r>
  <r>
    <x v="1616"/>
    <x v="9"/>
    <x v="0"/>
    <n v="59.7"/>
    <n v="59.7"/>
    <x v="60"/>
    <d v="2025-03-05T00:00:00"/>
    <s v="F"/>
    <x v="4"/>
    <x v="0"/>
    <x v="0"/>
    <x v="3"/>
    <x v="2"/>
    <x v="9"/>
    <x v="2"/>
  </r>
  <r>
    <x v="1617"/>
    <x v="6"/>
    <x v="0"/>
    <n v="48.3"/>
    <n v="48.3"/>
    <x v="60"/>
    <d v="2025-03-16T00:00:00"/>
    <s v="O"/>
    <x v="0"/>
    <x v="2"/>
    <x v="0"/>
    <x v="3"/>
    <x v="12"/>
    <x v="9"/>
    <x v="3"/>
  </r>
  <r>
    <x v="1618"/>
    <x v="8"/>
    <x v="2"/>
    <n v="45.5"/>
    <n v="136.5"/>
    <x v="60"/>
    <d v="2025-03-04T00:00:00"/>
    <s v="M"/>
    <x v="2"/>
    <x v="1"/>
    <x v="0"/>
    <x v="3"/>
    <x v="1"/>
    <x v="9"/>
    <x v="1"/>
  </r>
  <r>
    <x v="1619"/>
    <x v="9"/>
    <x v="6"/>
    <n v="51"/>
    <n v="1377"/>
    <x v="60"/>
    <d v="2025-03-02T00:00:00"/>
    <s v="F"/>
    <x v="2"/>
    <x v="0"/>
    <x v="0"/>
    <x v="3"/>
    <x v="7"/>
    <x v="9"/>
    <x v="2"/>
  </r>
  <r>
    <x v="1620"/>
    <x v="4"/>
    <x v="13"/>
    <n v="20.399999999999999"/>
    <n v="122.39999999999999"/>
    <x v="60"/>
    <d v="2025-03-03T00:00:00"/>
    <s v="M"/>
    <x v="2"/>
    <x v="0"/>
    <x v="0"/>
    <x v="3"/>
    <x v="3"/>
    <x v="9"/>
    <x v="1"/>
  </r>
  <r>
    <x v="1621"/>
    <x v="10"/>
    <x v="1"/>
    <n v="30.4"/>
    <n v="60.8"/>
    <x v="60"/>
    <d v="2025-03-04T00:00:00"/>
    <s v="M"/>
    <x v="2"/>
    <x v="0"/>
    <x v="0"/>
    <x v="3"/>
    <x v="1"/>
    <x v="9"/>
    <x v="1"/>
  </r>
  <r>
    <x v="1622"/>
    <x v="7"/>
    <x v="1"/>
    <n v="71.5"/>
    <n v="143"/>
    <x v="60"/>
    <d v="2025-03-06T00:00:00"/>
    <s v="F"/>
    <x v="0"/>
    <x v="0"/>
    <x v="0"/>
    <x v="3"/>
    <x v="5"/>
    <x v="9"/>
    <x v="2"/>
  </r>
  <r>
    <x v="1623"/>
    <x v="8"/>
    <x v="13"/>
    <n v="18"/>
    <n v="108"/>
    <x v="60"/>
    <d v="2025-03-03T00:00:00"/>
    <s v="O"/>
    <x v="1"/>
    <x v="2"/>
    <x v="0"/>
    <x v="6"/>
    <x v="3"/>
    <x v="9"/>
    <x v="3"/>
  </r>
  <r>
    <x v="1624"/>
    <x v="15"/>
    <x v="5"/>
    <n v="45.6"/>
    <n v="501.6"/>
    <x v="60"/>
    <d v="2025-03-03T00:00:00"/>
    <s v="O"/>
    <x v="1"/>
    <x v="1"/>
    <x v="0"/>
    <x v="7"/>
    <x v="3"/>
    <x v="9"/>
    <x v="3"/>
  </r>
  <r>
    <x v="1625"/>
    <x v="9"/>
    <x v="0"/>
    <n v="31.8"/>
    <n v="31.8"/>
    <x v="60"/>
    <d v="2025-03-06T00:00:00"/>
    <s v="F"/>
    <x v="0"/>
    <x v="2"/>
    <x v="0"/>
    <x v="7"/>
    <x v="5"/>
    <x v="9"/>
    <x v="2"/>
  </r>
  <r>
    <x v="1626"/>
    <x v="8"/>
    <x v="9"/>
    <n v="19.899999999999999"/>
    <n v="99.5"/>
    <x v="60"/>
    <d v="2025-03-03T00:00:00"/>
    <s v="F"/>
    <x v="1"/>
    <x v="0"/>
    <x v="0"/>
    <x v="7"/>
    <x v="3"/>
    <x v="9"/>
    <x v="2"/>
  </r>
  <r>
    <x v="1627"/>
    <x v="12"/>
    <x v="11"/>
    <n v="52.1"/>
    <n v="468.90000000000003"/>
    <x v="60"/>
    <d v="2025-03-04T00:00:00"/>
    <s v="M"/>
    <x v="0"/>
    <x v="0"/>
    <x v="0"/>
    <x v="8"/>
    <x v="1"/>
    <x v="9"/>
    <x v="1"/>
  </r>
  <r>
    <x v="1628"/>
    <x v="1"/>
    <x v="3"/>
    <n v="45.9"/>
    <n v="321.3"/>
    <x v="60"/>
    <d v="2025-03-03T00:00:00"/>
    <s v="M"/>
    <x v="0"/>
    <x v="1"/>
    <x v="0"/>
    <x v="8"/>
    <x v="3"/>
    <x v="9"/>
    <x v="1"/>
  </r>
  <r>
    <x v="1629"/>
    <x v="1"/>
    <x v="7"/>
    <n v="115.9"/>
    <n v="1159"/>
    <x v="60"/>
    <d v="2025-03-05T00:00:00"/>
    <s v="F"/>
    <x v="1"/>
    <x v="0"/>
    <x v="0"/>
    <x v="8"/>
    <x v="2"/>
    <x v="9"/>
    <x v="2"/>
  </r>
  <r>
    <x v="1630"/>
    <x v="6"/>
    <x v="11"/>
    <n v="86"/>
    <n v="774"/>
    <x v="60"/>
    <d v="2025-03-07T00:00:00"/>
    <s v="F"/>
    <x v="0"/>
    <x v="1"/>
    <x v="0"/>
    <x v="8"/>
    <x v="0"/>
    <x v="9"/>
    <x v="2"/>
  </r>
  <r>
    <x v="1631"/>
    <x v="7"/>
    <x v="3"/>
    <n v="73.599999999999994"/>
    <n v="515.19999999999993"/>
    <x v="60"/>
    <d v="2025-03-04T00:00:00"/>
    <s v="F"/>
    <x v="0"/>
    <x v="0"/>
    <x v="0"/>
    <x v="17"/>
    <x v="1"/>
    <x v="9"/>
    <x v="2"/>
  </r>
  <r>
    <x v="1632"/>
    <x v="10"/>
    <x v="2"/>
    <n v="26.7"/>
    <n v="80.099999999999994"/>
    <x v="60"/>
    <d v="2025-03-06T00:00:00"/>
    <s v="F"/>
    <x v="0"/>
    <x v="0"/>
    <x v="0"/>
    <x v="11"/>
    <x v="5"/>
    <x v="9"/>
    <x v="2"/>
  </r>
  <r>
    <x v="1633"/>
    <x v="8"/>
    <x v="3"/>
    <n v="46.6"/>
    <n v="326.2"/>
    <x v="60"/>
    <d v="2025-03-04T00:00:00"/>
    <s v=""/>
    <x v="3"/>
    <x v="0"/>
    <x v="0"/>
    <x v="11"/>
    <x v="1"/>
    <x v="9"/>
    <x v="0"/>
  </r>
  <r>
    <x v="1634"/>
    <x v="3"/>
    <x v="2"/>
    <n v="84.6"/>
    <n v="253.79999999999998"/>
    <x v="60"/>
    <d v="2025-03-04T00:00:00"/>
    <s v="M"/>
    <x v="4"/>
    <x v="0"/>
    <x v="0"/>
    <x v="11"/>
    <x v="1"/>
    <x v="9"/>
    <x v="1"/>
  </r>
  <r>
    <x v="1635"/>
    <x v="7"/>
    <x v="21"/>
    <n v="41.5"/>
    <n v="581"/>
    <x v="60"/>
    <d v="2025-03-16T00:00:00"/>
    <s v="M"/>
    <x v="1"/>
    <x v="0"/>
    <x v="0"/>
    <x v="53"/>
    <x v="12"/>
    <x v="9"/>
    <x v="1"/>
  </r>
  <r>
    <x v="1636"/>
    <x v="8"/>
    <x v="0"/>
    <n v="32.799999999999997"/>
    <n v="32.799999999999997"/>
    <x v="60"/>
    <d v="2025-03-05T00:00:00"/>
    <s v="M"/>
    <x v="0"/>
    <x v="2"/>
    <x v="0"/>
    <x v="30"/>
    <x v="2"/>
    <x v="9"/>
    <x v="1"/>
  </r>
  <r>
    <x v="1637"/>
    <x v="4"/>
    <x v="3"/>
    <n v="46.7"/>
    <n v="326.90000000000003"/>
    <x v="60"/>
    <d v="2025-03-04T00:00:00"/>
    <s v="O"/>
    <x v="0"/>
    <x v="2"/>
    <x v="0"/>
    <x v="18"/>
    <x v="1"/>
    <x v="9"/>
    <x v="3"/>
  </r>
  <r>
    <x v="1638"/>
    <x v="15"/>
    <x v="3"/>
    <n v="21"/>
    <n v="147"/>
    <x v="60"/>
    <d v="2025-03-05T00:00:00"/>
    <s v="M"/>
    <x v="2"/>
    <x v="1"/>
    <x v="0"/>
    <x v="21"/>
    <x v="2"/>
    <x v="9"/>
    <x v="1"/>
  </r>
  <r>
    <x v="1639"/>
    <x v="5"/>
    <x v="3"/>
    <n v="29.4"/>
    <n v="205.79999999999998"/>
    <x v="60"/>
    <d v="2025-03-02T00:00:00"/>
    <s v="M"/>
    <x v="3"/>
    <x v="2"/>
    <x v="0"/>
    <x v="21"/>
    <x v="7"/>
    <x v="9"/>
    <x v="1"/>
  </r>
  <r>
    <x v="1640"/>
    <x v="15"/>
    <x v="1"/>
    <n v="32.299999999999997"/>
    <n v="64.599999999999994"/>
    <x v="60"/>
    <d v="2025-03-03T00:00:00"/>
    <s v="M"/>
    <x v="0"/>
    <x v="2"/>
    <x v="0"/>
    <x v="21"/>
    <x v="3"/>
    <x v="9"/>
    <x v="1"/>
  </r>
  <r>
    <x v="1641"/>
    <x v="6"/>
    <x v="0"/>
    <n v="42.2"/>
    <n v="42.2"/>
    <x v="61"/>
    <d v="2025-03-05T00:00:00"/>
    <s v="F"/>
    <x v="0"/>
    <x v="2"/>
    <x v="0"/>
    <x v="21"/>
    <x v="1"/>
    <x v="9"/>
    <x v="2"/>
  </r>
  <r>
    <x v="1642"/>
    <x v="6"/>
    <x v="0"/>
    <n v="53.7"/>
    <n v="53.7"/>
    <x v="61"/>
    <d v="2025-03-05T00:00:00"/>
    <s v="M"/>
    <x v="1"/>
    <x v="1"/>
    <x v="0"/>
    <x v="1"/>
    <x v="1"/>
    <x v="9"/>
    <x v="1"/>
  </r>
  <r>
    <x v="1643"/>
    <x v="2"/>
    <x v="1"/>
    <n v="123.9"/>
    <n v="247.8"/>
    <x v="61"/>
    <d v="2025-03-06T00:00:00"/>
    <s v="M"/>
    <x v="2"/>
    <x v="0"/>
    <x v="0"/>
    <x v="1"/>
    <x v="2"/>
    <x v="9"/>
    <x v="1"/>
  </r>
  <r>
    <x v="1644"/>
    <x v="4"/>
    <x v="2"/>
    <n v="35.9"/>
    <n v="107.69999999999999"/>
    <x v="61"/>
    <d v="2025-03-05T00:00:00"/>
    <s v="M"/>
    <x v="2"/>
    <x v="0"/>
    <x v="0"/>
    <x v="22"/>
    <x v="1"/>
    <x v="9"/>
    <x v="1"/>
  </r>
  <r>
    <x v="1645"/>
    <x v="4"/>
    <x v="1"/>
    <n v="23.6"/>
    <n v="47.2"/>
    <x v="61"/>
    <d v="2025-03-06T00:00:00"/>
    <s v="M"/>
    <x v="0"/>
    <x v="2"/>
    <x v="0"/>
    <x v="3"/>
    <x v="2"/>
    <x v="9"/>
    <x v="1"/>
  </r>
  <r>
    <x v="1646"/>
    <x v="15"/>
    <x v="36"/>
    <n v="45.7"/>
    <n v="1599.5"/>
    <x v="61"/>
    <d v="2025-03-04T00:00:00"/>
    <s v="M"/>
    <x v="0"/>
    <x v="1"/>
    <x v="0"/>
    <x v="3"/>
    <x v="3"/>
    <x v="9"/>
    <x v="1"/>
  </r>
  <r>
    <x v="1647"/>
    <x v="6"/>
    <x v="5"/>
    <n v="118.3"/>
    <n v="1301.3"/>
    <x v="61"/>
    <d v="2025-03-05T00:00:00"/>
    <s v="M"/>
    <x v="4"/>
    <x v="2"/>
    <x v="0"/>
    <x v="3"/>
    <x v="1"/>
    <x v="9"/>
    <x v="1"/>
  </r>
  <r>
    <x v="1648"/>
    <x v="19"/>
    <x v="0"/>
    <n v="36"/>
    <n v="36"/>
    <x v="61"/>
    <d v="2025-03-04T00:00:00"/>
    <s v="F"/>
    <x v="0"/>
    <x v="1"/>
    <x v="0"/>
    <x v="3"/>
    <x v="3"/>
    <x v="9"/>
    <x v="2"/>
  </r>
  <r>
    <x v="1649"/>
    <x v="8"/>
    <x v="1"/>
    <n v="37.1"/>
    <n v="74.2"/>
    <x v="61"/>
    <d v="2025-03-06T00:00:00"/>
    <s v="F"/>
    <x v="2"/>
    <x v="0"/>
    <x v="0"/>
    <x v="3"/>
    <x v="2"/>
    <x v="9"/>
    <x v="2"/>
  </r>
  <r>
    <x v="1650"/>
    <x v="18"/>
    <x v="2"/>
    <n v="45.1"/>
    <n v="135.30000000000001"/>
    <x v="61"/>
    <d v="2025-03-05T00:00:00"/>
    <s v="F"/>
    <x v="1"/>
    <x v="2"/>
    <x v="0"/>
    <x v="3"/>
    <x v="1"/>
    <x v="9"/>
    <x v="2"/>
  </r>
  <r>
    <x v="1651"/>
    <x v="5"/>
    <x v="27"/>
    <n v="37.9"/>
    <n v="606.4"/>
    <x v="61"/>
    <d v="2025-03-04T00:00:00"/>
    <s v="F"/>
    <x v="3"/>
    <x v="2"/>
    <x v="0"/>
    <x v="3"/>
    <x v="3"/>
    <x v="9"/>
    <x v="2"/>
  </r>
  <r>
    <x v="1652"/>
    <x v="2"/>
    <x v="1"/>
    <n v="121.6"/>
    <n v="243.2"/>
    <x v="61"/>
    <d v="2025-03-06T00:00:00"/>
    <s v="M"/>
    <x v="3"/>
    <x v="2"/>
    <x v="0"/>
    <x v="3"/>
    <x v="2"/>
    <x v="9"/>
    <x v="1"/>
  </r>
  <r>
    <x v="1653"/>
    <x v="5"/>
    <x v="3"/>
    <n v="38.200000000000003"/>
    <n v="267.40000000000003"/>
    <x v="61"/>
    <d v="2025-03-06T00:00:00"/>
    <s v="F"/>
    <x v="0"/>
    <x v="0"/>
    <x v="0"/>
    <x v="3"/>
    <x v="2"/>
    <x v="9"/>
    <x v="2"/>
  </r>
  <r>
    <x v="1654"/>
    <x v="17"/>
    <x v="1"/>
    <n v="37.200000000000003"/>
    <n v="74.400000000000006"/>
    <x v="61"/>
    <d v="2025-03-06T00:00:00"/>
    <s v="M"/>
    <x v="4"/>
    <x v="0"/>
    <x v="0"/>
    <x v="3"/>
    <x v="2"/>
    <x v="9"/>
    <x v="1"/>
  </r>
  <r>
    <x v="1655"/>
    <x v="2"/>
    <x v="12"/>
    <n v="115.7"/>
    <n v="462.8"/>
    <x v="61"/>
    <d v="2025-03-06T00:00:00"/>
    <s v="F"/>
    <x v="1"/>
    <x v="0"/>
    <x v="0"/>
    <x v="3"/>
    <x v="2"/>
    <x v="9"/>
    <x v="2"/>
  </r>
  <r>
    <x v="1656"/>
    <x v="2"/>
    <x v="13"/>
    <n v="99.4"/>
    <n v="596.40000000000009"/>
    <x v="61"/>
    <d v="2025-03-06T00:00:00"/>
    <s v="M"/>
    <x v="0"/>
    <x v="2"/>
    <x v="0"/>
    <x v="3"/>
    <x v="2"/>
    <x v="9"/>
    <x v="1"/>
  </r>
  <r>
    <x v="1657"/>
    <x v="11"/>
    <x v="0"/>
    <n v="38.700000000000003"/>
    <n v="38.700000000000003"/>
    <x v="61"/>
    <d v="2025-03-04T00:00:00"/>
    <s v="F"/>
    <x v="2"/>
    <x v="0"/>
    <x v="0"/>
    <x v="25"/>
    <x v="3"/>
    <x v="9"/>
    <x v="2"/>
  </r>
  <r>
    <x v="1658"/>
    <x v="4"/>
    <x v="1"/>
    <n v="35.5"/>
    <n v="71"/>
    <x v="61"/>
    <d v="2025-03-06T00:00:00"/>
    <s v="M"/>
    <x v="0"/>
    <x v="2"/>
    <x v="0"/>
    <x v="25"/>
    <x v="2"/>
    <x v="9"/>
    <x v="1"/>
  </r>
  <r>
    <x v="1659"/>
    <x v="2"/>
    <x v="12"/>
    <n v="93.3"/>
    <n v="373.2"/>
    <x v="61"/>
    <d v="2025-03-06T00:00:00"/>
    <s v="F"/>
    <x v="0"/>
    <x v="2"/>
    <x v="0"/>
    <x v="6"/>
    <x v="2"/>
    <x v="9"/>
    <x v="2"/>
  </r>
  <r>
    <x v="1660"/>
    <x v="16"/>
    <x v="0"/>
    <n v="31.4"/>
    <n v="31.4"/>
    <x v="61"/>
    <d v="2025-03-08T00:00:00"/>
    <s v="F"/>
    <x v="2"/>
    <x v="2"/>
    <x v="0"/>
    <x v="6"/>
    <x v="0"/>
    <x v="9"/>
    <x v="2"/>
  </r>
  <r>
    <x v="1661"/>
    <x v="1"/>
    <x v="0"/>
    <n v="85.9"/>
    <n v="85.9"/>
    <x v="61"/>
    <d v="2025-03-06T00:00:00"/>
    <s v="M"/>
    <x v="1"/>
    <x v="0"/>
    <x v="0"/>
    <x v="6"/>
    <x v="2"/>
    <x v="9"/>
    <x v="1"/>
  </r>
  <r>
    <x v="1662"/>
    <x v="6"/>
    <x v="8"/>
    <n v="41.7"/>
    <n v="333.6"/>
    <x v="61"/>
    <d v="2025-03-11T00:00:00"/>
    <s v="M"/>
    <x v="0"/>
    <x v="2"/>
    <x v="0"/>
    <x v="7"/>
    <x v="9"/>
    <x v="9"/>
    <x v="1"/>
  </r>
  <r>
    <x v="1663"/>
    <x v="8"/>
    <x v="12"/>
    <n v="31.5"/>
    <n v="126"/>
    <x v="61"/>
    <d v="2025-03-04T00:00:00"/>
    <s v="F"/>
    <x v="0"/>
    <x v="0"/>
    <x v="0"/>
    <x v="7"/>
    <x v="3"/>
    <x v="9"/>
    <x v="2"/>
  </r>
  <r>
    <x v="1664"/>
    <x v="8"/>
    <x v="1"/>
    <n v="36.299999999999997"/>
    <n v="72.599999999999994"/>
    <x v="61"/>
    <d v="2025-03-04T00:00:00"/>
    <s v="F"/>
    <x v="0"/>
    <x v="4"/>
    <x v="0"/>
    <x v="8"/>
    <x v="3"/>
    <x v="9"/>
    <x v="2"/>
  </r>
  <r>
    <x v="1665"/>
    <x v="8"/>
    <x v="2"/>
    <n v="33.4"/>
    <n v="100.19999999999999"/>
    <x v="61"/>
    <d v="2025-03-04T00:00:00"/>
    <s v="F"/>
    <x v="3"/>
    <x v="0"/>
    <x v="0"/>
    <x v="17"/>
    <x v="3"/>
    <x v="9"/>
    <x v="2"/>
  </r>
  <r>
    <x v="1666"/>
    <x v="2"/>
    <x v="2"/>
    <n v="65.2"/>
    <n v="195.60000000000002"/>
    <x v="61"/>
    <d v="2025-03-04T00:00:00"/>
    <s v="F"/>
    <x v="2"/>
    <x v="2"/>
    <x v="0"/>
    <x v="26"/>
    <x v="3"/>
    <x v="9"/>
    <x v="2"/>
  </r>
  <r>
    <x v="1667"/>
    <x v="8"/>
    <x v="11"/>
    <n v="65.5"/>
    <n v="589.5"/>
    <x v="61"/>
    <d v="2025-03-06T00:00:00"/>
    <s v="F"/>
    <x v="0"/>
    <x v="2"/>
    <x v="0"/>
    <x v="9"/>
    <x v="2"/>
    <x v="9"/>
    <x v="2"/>
  </r>
  <r>
    <x v="1668"/>
    <x v="6"/>
    <x v="2"/>
    <n v="52.8"/>
    <n v="158.39999999999998"/>
    <x v="61"/>
    <d v="2025-03-06T00:00:00"/>
    <s v="M"/>
    <x v="2"/>
    <x v="0"/>
    <x v="0"/>
    <x v="9"/>
    <x v="2"/>
    <x v="9"/>
    <x v="1"/>
  </r>
  <r>
    <x v="1669"/>
    <x v="9"/>
    <x v="9"/>
    <n v="24"/>
    <n v="120"/>
    <x v="61"/>
    <d v="2025-03-07T00:00:00"/>
    <s v="M"/>
    <x v="0"/>
    <x v="1"/>
    <x v="0"/>
    <x v="11"/>
    <x v="5"/>
    <x v="9"/>
    <x v="1"/>
  </r>
  <r>
    <x v="1670"/>
    <x v="3"/>
    <x v="2"/>
    <n v="51.2"/>
    <n v="153.60000000000002"/>
    <x v="61"/>
    <d v="2025-03-04T00:00:00"/>
    <s v="F"/>
    <x v="0"/>
    <x v="0"/>
    <x v="0"/>
    <x v="32"/>
    <x v="3"/>
    <x v="9"/>
    <x v="2"/>
  </r>
  <r>
    <x v="1671"/>
    <x v="5"/>
    <x v="2"/>
    <n v="28.3"/>
    <n v="84.9"/>
    <x v="61"/>
    <d v="2025-03-05T00:00:00"/>
    <s v="M"/>
    <x v="4"/>
    <x v="0"/>
    <x v="0"/>
    <x v="19"/>
    <x v="1"/>
    <x v="9"/>
    <x v="1"/>
  </r>
  <r>
    <x v="1672"/>
    <x v="6"/>
    <x v="2"/>
    <n v="42.3"/>
    <n v="126.89999999999999"/>
    <x v="61"/>
    <d v="2025-03-03T00:00:00"/>
    <s v="F"/>
    <x v="2"/>
    <x v="1"/>
    <x v="0"/>
    <x v="19"/>
    <x v="7"/>
    <x v="9"/>
    <x v="2"/>
  </r>
  <r>
    <x v="1673"/>
    <x v="2"/>
    <x v="8"/>
    <n v="163.30000000000001"/>
    <n v="1306.4000000000001"/>
    <x v="62"/>
    <d v="2025-03-05T00:00:00"/>
    <s v="F"/>
    <x v="1"/>
    <x v="0"/>
    <x v="0"/>
    <x v="13"/>
    <x v="3"/>
    <x v="9"/>
    <x v="2"/>
  </r>
  <r>
    <x v="1674"/>
    <x v="6"/>
    <x v="3"/>
    <n v="47.3"/>
    <n v="331.09999999999997"/>
    <x v="62"/>
    <d v="2025-03-07T00:00:00"/>
    <s v="F"/>
    <x v="4"/>
    <x v="1"/>
    <x v="0"/>
    <x v="21"/>
    <x v="2"/>
    <x v="9"/>
    <x v="2"/>
  </r>
  <r>
    <x v="1675"/>
    <x v="8"/>
    <x v="27"/>
    <n v="27.3"/>
    <n v="436.8"/>
    <x v="62"/>
    <d v="2025-03-05T00:00:00"/>
    <s v="F"/>
    <x v="2"/>
    <x v="0"/>
    <x v="0"/>
    <x v="21"/>
    <x v="3"/>
    <x v="9"/>
    <x v="2"/>
  </r>
  <r>
    <x v="1676"/>
    <x v="10"/>
    <x v="13"/>
    <n v="34.9"/>
    <n v="209.39999999999998"/>
    <x v="62"/>
    <d v="2025-03-15T00:00:00"/>
    <s v="F"/>
    <x v="0"/>
    <x v="0"/>
    <x v="0"/>
    <x v="21"/>
    <x v="11"/>
    <x v="9"/>
    <x v="2"/>
  </r>
  <r>
    <x v="1677"/>
    <x v="6"/>
    <x v="1"/>
    <n v="53.9"/>
    <n v="107.8"/>
    <x v="62"/>
    <d v="2025-03-07T00:00:00"/>
    <s v="O"/>
    <x v="0"/>
    <x v="4"/>
    <x v="0"/>
    <x v="1"/>
    <x v="2"/>
    <x v="9"/>
    <x v="3"/>
  </r>
  <r>
    <x v="1678"/>
    <x v="2"/>
    <x v="1"/>
    <n v="87.2"/>
    <n v="174.4"/>
    <x v="62"/>
    <d v="2025-03-05T00:00:00"/>
    <s v="F"/>
    <x v="0"/>
    <x v="1"/>
    <x v="0"/>
    <x v="1"/>
    <x v="3"/>
    <x v="9"/>
    <x v="2"/>
  </r>
  <r>
    <x v="1679"/>
    <x v="15"/>
    <x v="0"/>
    <n v="58.8"/>
    <n v="58.8"/>
    <x v="62"/>
    <d v="2025-03-06T00:00:00"/>
    <s v="F"/>
    <x v="2"/>
    <x v="0"/>
    <x v="0"/>
    <x v="44"/>
    <x v="1"/>
    <x v="9"/>
    <x v="2"/>
  </r>
  <r>
    <x v="1680"/>
    <x v="2"/>
    <x v="3"/>
    <n v="125.5"/>
    <n v="878.5"/>
    <x v="62"/>
    <d v="2025-03-05T00:00:00"/>
    <s v="M"/>
    <x v="2"/>
    <x v="4"/>
    <x v="0"/>
    <x v="22"/>
    <x v="3"/>
    <x v="9"/>
    <x v="1"/>
  </r>
  <r>
    <x v="1681"/>
    <x v="1"/>
    <x v="12"/>
    <n v="124.6"/>
    <n v="498.4"/>
    <x v="62"/>
    <d v="2025-03-06T00:00:00"/>
    <s v="F"/>
    <x v="0"/>
    <x v="1"/>
    <x v="0"/>
    <x v="22"/>
    <x v="1"/>
    <x v="9"/>
    <x v="2"/>
  </r>
  <r>
    <x v="1682"/>
    <x v="1"/>
    <x v="3"/>
    <n v="39.9"/>
    <n v="279.3"/>
    <x v="62"/>
    <d v="2025-03-05T00:00:00"/>
    <s v="M"/>
    <x v="2"/>
    <x v="1"/>
    <x v="0"/>
    <x v="3"/>
    <x v="3"/>
    <x v="9"/>
    <x v="1"/>
  </r>
  <r>
    <x v="1683"/>
    <x v="6"/>
    <x v="0"/>
    <n v="94.6"/>
    <n v="94.6"/>
    <x v="62"/>
    <d v="2025-03-18T00:00:00"/>
    <s v="F"/>
    <x v="0"/>
    <x v="1"/>
    <x v="0"/>
    <x v="3"/>
    <x v="12"/>
    <x v="9"/>
    <x v="2"/>
  </r>
  <r>
    <x v="1684"/>
    <x v="2"/>
    <x v="1"/>
    <n v="149.6"/>
    <n v="299.2"/>
    <x v="62"/>
    <d v="2025-03-05T00:00:00"/>
    <s v="F"/>
    <x v="0"/>
    <x v="0"/>
    <x v="0"/>
    <x v="3"/>
    <x v="3"/>
    <x v="9"/>
    <x v="2"/>
  </r>
  <r>
    <x v="1685"/>
    <x v="8"/>
    <x v="0"/>
    <n v="52.2"/>
    <n v="52.2"/>
    <x v="62"/>
    <d v="2025-03-05T00:00:00"/>
    <s v=""/>
    <x v="1"/>
    <x v="0"/>
    <x v="0"/>
    <x v="3"/>
    <x v="3"/>
    <x v="9"/>
    <x v="0"/>
  </r>
  <r>
    <x v="1686"/>
    <x v="6"/>
    <x v="1"/>
    <n v="96.5"/>
    <n v="193"/>
    <x v="62"/>
    <d v="2025-03-05T00:00:00"/>
    <s v="F"/>
    <x v="1"/>
    <x v="1"/>
    <x v="0"/>
    <x v="3"/>
    <x v="3"/>
    <x v="9"/>
    <x v="2"/>
  </r>
  <r>
    <x v="1687"/>
    <x v="8"/>
    <x v="1"/>
    <n v="79.8"/>
    <n v="159.6"/>
    <x v="62"/>
    <d v="2025-03-06T00:00:00"/>
    <s v="F"/>
    <x v="0"/>
    <x v="1"/>
    <x v="0"/>
    <x v="3"/>
    <x v="1"/>
    <x v="9"/>
    <x v="2"/>
  </r>
  <r>
    <x v="1688"/>
    <x v="8"/>
    <x v="2"/>
    <n v="35.6"/>
    <n v="106.80000000000001"/>
    <x v="62"/>
    <d v="2025-03-05T00:00:00"/>
    <s v="F"/>
    <x v="2"/>
    <x v="0"/>
    <x v="0"/>
    <x v="3"/>
    <x v="3"/>
    <x v="9"/>
    <x v="2"/>
  </r>
  <r>
    <x v="1689"/>
    <x v="16"/>
    <x v="0"/>
    <n v="50.2"/>
    <n v="50.2"/>
    <x v="62"/>
    <d v="2025-03-05T00:00:00"/>
    <s v="F"/>
    <x v="1"/>
    <x v="2"/>
    <x v="0"/>
    <x v="3"/>
    <x v="3"/>
    <x v="9"/>
    <x v="2"/>
  </r>
  <r>
    <x v="1690"/>
    <x v="1"/>
    <x v="2"/>
    <n v="55.3"/>
    <n v="165.89999999999998"/>
    <x v="62"/>
    <d v="2025-03-07T00:00:00"/>
    <s v="F"/>
    <x v="0"/>
    <x v="4"/>
    <x v="0"/>
    <x v="40"/>
    <x v="2"/>
    <x v="9"/>
    <x v="2"/>
  </r>
  <r>
    <x v="1691"/>
    <x v="6"/>
    <x v="3"/>
    <n v="104.5"/>
    <n v="731.5"/>
    <x v="62"/>
    <d v="2025-03-08T00:00:00"/>
    <s v="F"/>
    <x v="1"/>
    <x v="0"/>
    <x v="0"/>
    <x v="7"/>
    <x v="5"/>
    <x v="9"/>
    <x v="2"/>
  </r>
  <r>
    <x v="1692"/>
    <x v="6"/>
    <x v="12"/>
    <n v="66.5"/>
    <n v="266"/>
    <x v="62"/>
    <d v="2025-03-06T00:00:00"/>
    <s v="M"/>
    <x v="1"/>
    <x v="0"/>
    <x v="0"/>
    <x v="7"/>
    <x v="1"/>
    <x v="9"/>
    <x v="1"/>
  </r>
  <r>
    <x v="1693"/>
    <x v="10"/>
    <x v="8"/>
    <n v="38.299999999999997"/>
    <n v="306.39999999999998"/>
    <x v="62"/>
    <d v="2025-03-05T00:00:00"/>
    <s v="F"/>
    <x v="0"/>
    <x v="0"/>
    <x v="0"/>
    <x v="7"/>
    <x v="3"/>
    <x v="9"/>
    <x v="2"/>
  </r>
  <r>
    <x v="1694"/>
    <x v="6"/>
    <x v="2"/>
    <n v="63.8"/>
    <n v="191.39999999999998"/>
    <x v="62"/>
    <d v="2025-03-07T00:00:00"/>
    <s v="F"/>
    <x v="1"/>
    <x v="0"/>
    <x v="0"/>
    <x v="8"/>
    <x v="2"/>
    <x v="9"/>
    <x v="2"/>
  </r>
  <r>
    <x v="1695"/>
    <x v="15"/>
    <x v="0"/>
    <n v="21.4"/>
    <n v="21.4"/>
    <x v="62"/>
    <d v="2025-03-04T00:00:00"/>
    <s v="M"/>
    <x v="4"/>
    <x v="0"/>
    <x v="0"/>
    <x v="8"/>
    <x v="7"/>
    <x v="9"/>
    <x v="1"/>
  </r>
  <r>
    <x v="1696"/>
    <x v="8"/>
    <x v="12"/>
    <n v="44.1"/>
    <n v="176.4"/>
    <x v="62"/>
    <d v="2025-03-06T00:00:00"/>
    <s v="F"/>
    <x v="2"/>
    <x v="0"/>
    <x v="0"/>
    <x v="8"/>
    <x v="1"/>
    <x v="9"/>
    <x v="2"/>
  </r>
  <r>
    <x v="1697"/>
    <x v="5"/>
    <x v="8"/>
    <n v="57.6"/>
    <n v="460.8"/>
    <x v="62"/>
    <d v="2025-03-06T00:00:00"/>
    <s v="M"/>
    <x v="1"/>
    <x v="2"/>
    <x v="0"/>
    <x v="8"/>
    <x v="1"/>
    <x v="9"/>
    <x v="1"/>
  </r>
  <r>
    <x v="1698"/>
    <x v="9"/>
    <x v="1"/>
    <n v="20.3"/>
    <n v="40.6"/>
    <x v="62"/>
    <d v="2025-03-10T00:00:00"/>
    <s v="F"/>
    <x v="3"/>
    <x v="0"/>
    <x v="0"/>
    <x v="8"/>
    <x v="4"/>
    <x v="9"/>
    <x v="2"/>
  </r>
  <r>
    <x v="1699"/>
    <x v="8"/>
    <x v="0"/>
    <n v="22.9"/>
    <n v="22.9"/>
    <x v="62"/>
    <d v="2025-03-06T00:00:00"/>
    <s v="F"/>
    <x v="2"/>
    <x v="2"/>
    <x v="0"/>
    <x v="8"/>
    <x v="1"/>
    <x v="9"/>
    <x v="2"/>
  </r>
  <r>
    <x v="1700"/>
    <x v="6"/>
    <x v="12"/>
    <n v="105.9"/>
    <n v="423.6"/>
    <x v="62"/>
    <d v="2025-03-05T00:00:00"/>
    <s v="F"/>
    <x v="1"/>
    <x v="2"/>
    <x v="0"/>
    <x v="17"/>
    <x v="3"/>
    <x v="9"/>
    <x v="2"/>
  </r>
  <r>
    <x v="1701"/>
    <x v="1"/>
    <x v="11"/>
    <n v="37.4"/>
    <n v="336.59999999999997"/>
    <x v="62"/>
    <d v="2025-03-08T00:00:00"/>
    <s v="M"/>
    <x v="1"/>
    <x v="0"/>
    <x v="0"/>
    <x v="11"/>
    <x v="5"/>
    <x v="9"/>
    <x v="1"/>
  </r>
  <r>
    <x v="1702"/>
    <x v="18"/>
    <x v="1"/>
    <n v="79"/>
    <n v="158"/>
    <x v="62"/>
    <d v="2025-03-05T00:00:00"/>
    <s v="M"/>
    <x v="2"/>
    <x v="0"/>
    <x v="0"/>
    <x v="28"/>
    <x v="3"/>
    <x v="9"/>
    <x v="1"/>
  </r>
  <r>
    <x v="1703"/>
    <x v="0"/>
    <x v="2"/>
    <n v="19.3"/>
    <n v="57.900000000000006"/>
    <x v="62"/>
    <d v="2025-03-05T00:00:00"/>
    <s v="F"/>
    <x v="4"/>
    <x v="0"/>
    <x v="0"/>
    <x v="21"/>
    <x v="3"/>
    <x v="9"/>
    <x v="2"/>
  </r>
  <r>
    <x v="1704"/>
    <x v="0"/>
    <x v="0"/>
    <n v="24"/>
    <n v="24"/>
    <x v="62"/>
    <d v="2025-03-05T00:00:00"/>
    <s v="F"/>
    <x v="1"/>
    <x v="0"/>
    <x v="0"/>
    <x v="1"/>
    <x v="3"/>
    <x v="9"/>
    <x v="2"/>
  </r>
  <r>
    <x v="1705"/>
    <x v="6"/>
    <x v="9"/>
    <n v="71.3"/>
    <n v="356.5"/>
    <x v="62"/>
    <d v="2025-03-07T00:00:00"/>
    <s v="F"/>
    <x v="2"/>
    <x v="0"/>
    <x v="0"/>
    <x v="2"/>
    <x v="2"/>
    <x v="9"/>
    <x v="2"/>
  </r>
  <r>
    <x v="1706"/>
    <x v="5"/>
    <x v="1"/>
    <n v="166.2"/>
    <n v="332.4"/>
    <x v="62"/>
    <d v="2025-03-05T00:00:00"/>
    <s v="M"/>
    <x v="0"/>
    <x v="2"/>
    <x v="0"/>
    <x v="50"/>
    <x v="3"/>
    <x v="9"/>
    <x v="1"/>
  </r>
  <r>
    <x v="1707"/>
    <x v="6"/>
    <x v="0"/>
    <n v="81"/>
    <n v="81"/>
    <x v="62"/>
    <d v="2025-03-05T00:00:00"/>
    <s v="F"/>
    <x v="2"/>
    <x v="1"/>
    <x v="0"/>
    <x v="3"/>
    <x v="3"/>
    <x v="9"/>
    <x v="2"/>
  </r>
  <r>
    <x v="1708"/>
    <x v="10"/>
    <x v="13"/>
    <n v="38.5"/>
    <n v="231"/>
    <x v="62"/>
    <d v="2025-03-08T00:00:00"/>
    <s v="F"/>
    <x v="0"/>
    <x v="0"/>
    <x v="0"/>
    <x v="3"/>
    <x v="5"/>
    <x v="9"/>
    <x v="2"/>
  </r>
  <r>
    <x v="1709"/>
    <x v="6"/>
    <x v="0"/>
    <n v="86.1"/>
    <n v="86.1"/>
    <x v="62"/>
    <d v="2025-03-06T00:00:00"/>
    <s v="F"/>
    <x v="3"/>
    <x v="0"/>
    <x v="0"/>
    <x v="3"/>
    <x v="1"/>
    <x v="9"/>
    <x v="2"/>
  </r>
  <r>
    <x v="1710"/>
    <x v="2"/>
    <x v="9"/>
    <n v="51"/>
    <n v="255"/>
    <x v="62"/>
    <d v="2025-03-05T00:00:00"/>
    <s v="M"/>
    <x v="0"/>
    <x v="1"/>
    <x v="0"/>
    <x v="3"/>
    <x v="3"/>
    <x v="9"/>
    <x v="1"/>
  </r>
  <r>
    <x v="1711"/>
    <x v="3"/>
    <x v="9"/>
    <n v="115.4"/>
    <n v="577"/>
    <x v="62"/>
    <d v="2025-03-05T00:00:00"/>
    <s v="M"/>
    <x v="0"/>
    <x v="0"/>
    <x v="0"/>
    <x v="3"/>
    <x v="3"/>
    <x v="9"/>
    <x v="1"/>
  </r>
  <r>
    <x v="1712"/>
    <x v="6"/>
    <x v="12"/>
    <n v="176.5"/>
    <n v="706"/>
    <x v="62"/>
    <d v="2025-03-05T00:00:00"/>
    <s v="F"/>
    <x v="2"/>
    <x v="2"/>
    <x v="0"/>
    <x v="3"/>
    <x v="3"/>
    <x v="9"/>
    <x v="2"/>
  </r>
  <r>
    <x v="1713"/>
    <x v="7"/>
    <x v="2"/>
    <n v="48.9"/>
    <n v="146.69999999999999"/>
    <x v="62"/>
    <d v="2025-03-05T00:00:00"/>
    <s v="M"/>
    <x v="4"/>
    <x v="0"/>
    <x v="0"/>
    <x v="3"/>
    <x v="3"/>
    <x v="9"/>
    <x v="1"/>
  </r>
  <r>
    <x v="1714"/>
    <x v="8"/>
    <x v="2"/>
    <n v="18.100000000000001"/>
    <n v="54.300000000000004"/>
    <x v="62"/>
    <d v="2025-03-11T00:00:00"/>
    <s v="F"/>
    <x v="1"/>
    <x v="2"/>
    <x v="0"/>
    <x v="29"/>
    <x v="6"/>
    <x v="9"/>
    <x v="2"/>
  </r>
  <r>
    <x v="1715"/>
    <x v="2"/>
    <x v="1"/>
    <n v="118.5"/>
    <n v="237"/>
    <x v="62"/>
    <d v="2025-03-07T00:00:00"/>
    <s v="M"/>
    <x v="1"/>
    <x v="2"/>
    <x v="0"/>
    <x v="16"/>
    <x v="2"/>
    <x v="9"/>
    <x v="1"/>
  </r>
  <r>
    <x v="1716"/>
    <x v="15"/>
    <x v="3"/>
    <n v="59.1"/>
    <n v="413.7"/>
    <x v="62"/>
    <d v="2025-03-05T00:00:00"/>
    <s v="F"/>
    <x v="3"/>
    <x v="0"/>
    <x v="0"/>
    <x v="25"/>
    <x v="3"/>
    <x v="9"/>
    <x v="2"/>
  </r>
  <r>
    <x v="1717"/>
    <x v="4"/>
    <x v="0"/>
    <n v="21.2"/>
    <n v="21.2"/>
    <x v="62"/>
    <d v="2025-03-05T00:00:00"/>
    <s v="F"/>
    <x v="0"/>
    <x v="1"/>
    <x v="0"/>
    <x v="6"/>
    <x v="3"/>
    <x v="9"/>
    <x v="2"/>
  </r>
  <r>
    <x v="1718"/>
    <x v="6"/>
    <x v="1"/>
    <n v="68.8"/>
    <n v="137.6"/>
    <x v="62"/>
    <d v="2025-03-09T00:00:00"/>
    <s v="F"/>
    <x v="3"/>
    <x v="2"/>
    <x v="0"/>
    <x v="6"/>
    <x v="0"/>
    <x v="9"/>
    <x v="2"/>
  </r>
  <r>
    <x v="1719"/>
    <x v="6"/>
    <x v="1"/>
    <n v="65.400000000000006"/>
    <n v="130.80000000000001"/>
    <x v="62"/>
    <d v="2025-03-08T00:00:00"/>
    <s v="F"/>
    <x v="0"/>
    <x v="0"/>
    <x v="0"/>
    <x v="6"/>
    <x v="5"/>
    <x v="9"/>
    <x v="2"/>
  </r>
  <r>
    <x v="1720"/>
    <x v="12"/>
    <x v="9"/>
    <n v="66.3"/>
    <n v="331.5"/>
    <x v="63"/>
    <d v="2025-03-08T00:00:00"/>
    <s v="F"/>
    <x v="4"/>
    <x v="0"/>
    <x v="0"/>
    <x v="6"/>
    <x v="2"/>
    <x v="9"/>
    <x v="2"/>
  </r>
  <r>
    <x v="1721"/>
    <x v="6"/>
    <x v="2"/>
    <n v="97.5"/>
    <n v="292.5"/>
    <x v="63"/>
    <d v="2025-03-05T00:00:00"/>
    <s v="M"/>
    <x v="3"/>
    <x v="0"/>
    <x v="0"/>
    <x v="8"/>
    <x v="7"/>
    <x v="9"/>
    <x v="1"/>
  </r>
  <r>
    <x v="1722"/>
    <x v="1"/>
    <x v="1"/>
    <n v="44"/>
    <n v="88"/>
    <x v="63"/>
    <d v="2025-03-08T00:00:00"/>
    <s v="F"/>
    <x v="1"/>
    <x v="2"/>
    <x v="0"/>
    <x v="8"/>
    <x v="2"/>
    <x v="9"/>
    <x v="2"/>
  </r>
  <r>
    <x v="1723"/>
    <x v="0"/>
    <x v="0"/>
    <n v="21.9"/>
    <n v="21.9"/>
    <x v="63"/>
    <d v="2025-03-06T00:00:00"/>
    <s v="M"/>
    <x v="0"/>
    <x v="0"/>
    <x v="0"/>
    <x v="8"/>
    <x v="3"/>
    <x v="9"/>
    <x v="1"/>
  </r>
  <r>
    <x v="1724"/>
    <x v="4"/>
    <x v="3"/>
    <n v="21.5"/>
    <n v="150.5"/>
    <x v="63"/>
    <d v="2025-03-07T00:00:00"/>
    <s v="F"/>
    <x v="1"/>
    <x v="2"/>
    <x v="0"/>
    <x v="9"/>
    <x v="1"/>
    <x v="9"/>
    <x v="2"/>
  </r>
  <r>
    <x v="1725"/>
    <x v="12"/>
    <x v="13"/>
    <n v="133"/>
    <n v="798"/>
    <x v="63"/>
    <d v="2025-03-06T00:00:00"/>
    <s v="O"/>
    <x v="0"/>
    <x v="2"/>
    <x v="0"/>
    <x v="10"/>
    <x v="3"/>
    <x v="9"/>
    <x v="3"/>
  </r>
  <r>
    <x v="1726"/>
    <x v="8"/>
    <x v="1"/>
    <n v="47.7"/>
    <n v="95.4"/>
    <x v="63"/>
    <d v="2025-03-09T00:00:00"/>
    <s v="M"/>
    <x v="0"/>
    <x v="2"/>
    <x v="0"/>
    <x v="10"/>
    <x v="5"/>
    <x v="9"/>
    <x v="1"/>
  </r>
  <r>
    <x v="1727"/>
    <x v="16"/>
    <x v="2"/>
    <n v="58.1"/>
    <n v="174.3"/>
    <x v="63"/>
    <d v="2025-03-06T00:00:00"/>
    <s v="F"/>
    <x v="0"/>
    <x v="0"/>
    <x v="0"/>
    <x v="11"/>
    <x v="3"/>
    <x v="9"/>
    <x v="2"/>
  </r>
  <r>
    <x v="1728"/>
    <x v="12"/>
    <x v="12"/>
    <n v="66.599999999999994"/>
    <n v="266.39999999999998"/>
    <x v="63"/>
    <d v="2025-03-06T00:00:00"/>
    <s v=""/>
    <x v="0"/>
    <x v="0"/>
    <x v="0"/>
    <x v="11"/>
    <x v="3"/>
    <x v="9"/>
    <x v="0"/>
  </r>
  <r>
    <x v="1729"/>
    <x v="9"/>
    <x v="0"/>
    <n v="24.1"/>
    <n v="24.1"/>
    <x v="63"/>
    <d v="2025-03-08T00:00:00"/>
    <s v="M"/>
    <x v="2"/>
    <x v="1"/>
    <x v="0"/>
    <x v="19"/>
    <x v="2"/>
    <x v="9"/>
    <x v="1"/>
  </r>
  <r>
    <x v="1730"/>
    <x v="10"/>
    <x v="9"/>
    <n v="51.5"/>
    <n v="257.5"/>
    <x v="63"/>
    <d v="2025-03-10T00:00:00"/>
    <s v="F"/>
    <x v="0"/>
    <x v="0"/>
    <x v="0"/>
    <x v="13"/>
    <x v="0"/>
    <x v="9"/>
    <x v="2"/>
  </r>
  <r>
    <x v="1731"/>
    <x v="0"/>
    <x v="5"/>
    <n v="25.8"/>
    <n v="283.8"/>
    <x v="63"/>
    <d v="2025-03-09T00:00:00"/>
    <s v="F"/>
    <x v="3"/>
    <x v="4"/>
    <x v="0"/>
    <x v="21"/>
    <x v="5"/>
    <x v="9"/>
    <x v="2"/>
  </r>
  <r>
    <x v="1732"/>
    <x v="9"/>
    <x v="12"/>
    <n v="47.7"/>
    <n v="190.8"/>
    <x v="63"/>
    <d v="2025-03-05T00:00:00"/>
    <s v="F"/>
    <x v="0"/>
    <x v="1"/>
    <x v="0"/>
    <x v="21"/>
    <x v="7"/>
    <x v="9"/>
    <x v="2"/>
  </r>
  <r>
    <x v="1733"/>
    <x v="7"/>
    <x v="9"/>
    <n v="73.599999999999994"/>
    <n v="368"/>
    <x v="63"/>
    <d v="2025-03-09T00:00:00"/>
    <s v="M"/>
    <x v="1"/>
    <x v="0"/>
    <x v="0"/>
    <x v="21"/>
    <x v="5"/>
    <x v="9"/>
    <x v="1"/>
  </r>
  <r>
    <x v="1734"/>
    <x v="5"/>
    <x v="3"/>
    <n v="91.2"/>
    <n v="638.4"/>
    <x v="63"/>
    <d v="2025-03-06T00:00:00"/>
    <s v="M"/>
    <x v="1"/>
    <x v="2"/>
    <x v="0"/>
    <x v="21"/>
    <x v="3"/>
    <x v="9"/>
    <x v="1"/>
  </r>
  <r>
    <x v="1735"/>
    <x v="1"/>
    <x v="8"/>
    <n v="36.200000000000003"/>
    <n v="289.60000000000002"/>
    <x v="63"/>
    <d v="2025-03-05T00:00:00"/>
    <s v="M"/>
    <x v="2"/>
    <x v="2"/>
    <x v="0"/>
    <x v="1"/>
    <x v="7"/>
    <x v="9"/>
    <x v="1"/>
  </r>
  <r>
    <x v="1736"/>
    <x v="9"/>
    <x v="8"/>
    <n v="98"/>
    <n v="784"/>
    <x v="63"/>
    <d v="2025-03-09T00:00:00"/>
    <s v="F"/>
    <x v="2"/>
    <x v="0"/>
    <x v="0"/>
    <x v="2"/>
    <x v="5"/>
    <x v="9"/>
    <x v="2"/>
  </r>
  <r>
    <x v="1737"/>
    <x v="1"/>
    <x v="8"/>
    <n v="43.6"/>
    <n v="348.8"/>
    <x v="63"/>
    <d v="2025-03-06T00:00:00"/>
    <s v="F"/>
    <x v="2"/>
    <x v="0"/>
    <x v="0"/>
    <x v="22"/>
    <x v="3"/>
    <x v="9"/>
    <x v="2"/>
  </r>
  <r>
    <x v="1738"/>
    <x v="8"/>
    <x v="7"/>
    <n v="37.799999999999997"/>
    <n v="378"/>
    <x v="63"/>
    <d v="2025-03-05T00:00:00"/>
    <s v="O"/>
    <x v="0"/>
    <x v="0"/>
    <x v="0"/>
    <x v="50"/>
    <x v="7"/>
    <x v="9"/>
    <x v="3"/>
  </r>
  <r>
    <x v="1739"/>
    <x v="17"/>
    <x v="9"/>
    <n v="63.7"/>
    <n v="318.5"/>
    <x v="63"/>
    <d v="2025-03-08T00:00:00"/>
    <s v="F"/>
    <x v="2"/>
    <x v="1"/>
    <x v="0"/>
    <x v="3"/>
    <x v="2"/>
    <x v="9"/>
    <x v="2"/>
  </r>
  <r>
    <x v="1740"/>
    <x v="5"/>
    <x v="11"/>
    <n v="62.9"/>
    <n v="566.1"/>
    <x v="63"/>
    <d v="2025-03-10T00:00:00"/>
    <s v="M"/>
    <x v="3"/>
    <x v="2"/>
    <x v="0"/>
    <x v="3"/>
    <x v="0"/>
    <x v="9"/>
    <x v="1"/>
  </r>
  <r>
    <x v="1741"/>
    <x v="6"/>
    <x v="3"/>
    <n v="61.7"/>
    <n v="431.90000000000003"/>
    <x v="63"/>
    <d v="2025-03-08T00:00:00"/>
    <s v="F"/>
    <x v="2"/>
    <x v="2"/>
    <x v="0"/>
    <x v="3"/>
    <x v="2"/>
    <x v="9"/>
    <x v="2"/>
  </r>
  <r>
    <x v="1742"/>
    <x v="18"/>
    <x v="21"/>
    <n v="36.5"/>
    <n v="511"/>
    <x v="63"/>
    <d v="2025-03-06T00:00:00"/>
    <s v="M"/>
    <x v="0"/>
    <x v="2"/>
    <x v="0"/>
    <x v="3"/>
    <x v="3"/>
    <x v="9"/>
    <x v="1"/>
  </r>
  <r>
    <x v="1743"/>
    <x v="11"/>
    <x v="2"/>
    <n v="98.6"/>
    <n v="295.79999999999995"/>
    <x v="63"/>
    <d v="2025-03-08T00:00:00"/>
    <s v="O"/>
    <x v="0"/>
    <x v="4"/>
    <x v="0"/>
    <x v="3"/>
    <x v="2"/>
    <x v="9"/>
    <x v="3"/>
  </r>
  <r>
    <x v="1744"/>
    <x v="8"/>
    <x v="1"/>
    <n v="19.2"/>
    <n v="38.4"/>
    <x v="63"/>
    <d v="2025-03-15T00:00:00"/>
    <s v="M"/>
    <x v="0"/>
    <x v="0"/>
    <x v="0"/>
    <x v="3"/>
    <x v="14"/>
    <x v="9"/>
    <x v="1"/>
  </r>
  <r>
    <x v="1745"/>
    <x v="3"/>
    <x v="13"/>
    <n v="55.6"/>
    <n v="333.6"/>
    <x v="63"/>
    <d v="2025-03-09T00:00:00"/>
    <s v="F"/>
    <x v="0"/>
    <x v="2"/>
    <x v="0"/>
    <x v="3"/>
    <x v="5"/>
    <x v="9"/>
    <x v="2"/>
  </r>
  <r>
    <x v="1746"/>
    <x v="5"/>
    <x v="13"/>
    <n v="56.4"/>
    <n v="338.4"/>
    <x v="63"/>
    <d v="2025-03-06T00:00:00"/>
    <s v="F"/>
    <x v="1"/>
    <x v="0"/>
    <x v="0"/>
    <x v="3"/>
    <x v="3"/>
    <x v="9"/>
    <x v="2"/>
  </r>
  <r>
    <x v="1747"/>
    <x v="4"/>
    <x v="8"/>
    <n v="43.1"/>
    <n v="344.8"/>
    <x v="63"/>
    <d v="2025-03-09T00:00:00"/>
    <s v="F"/>
    <x v="4"/>
    <x v="0"/>
    <x v="0"/>
    <x v="3"/>
    <x v="5"/>
    <x v="9"/>
    <x v="2"/>
  </r>
  <r>
    <x v="1748"/>
    <x v="1"/>
    <x v="1"/>
    <n v="77.3"/>
    <n v="154.6"/>
    <x v="63"/>
    <d v="2025-03-07T00:00:00"/>
    <s v="M"/>
    <x v="0"/>
    <x v="0"/>
    <x v="0"/>
    <x v="6"/>
    <x v="1"/>
    <x v="9"/>
    <x v="1"/>
  </r>
  <r>
    <x v="1749"/>
    <x v="9"/>
    <x v="8"/>
    <n v="38.299999999999997"/>
    <n v="306.39999999999998"/>
    <x v="63"/>
    <d v="2025-03-06T00:00:00"/>
    <s v="M"/>
    <x v="0"/>
    <x v="0"/>
    <x v="0"/>
    <x v="7"/>
    <x v="3"/>
    <x v="9"/>
    <x v="1"/>
  </r>
  <r>
    <x v="1750"/>
    <x v="0"/>
    <x v="3"/>
    <n v="16.8"/>
    <n v="117.60000000000001"/>
    <x v="63"/>
    <d v="2025-03-08T00:00:00"/>
    <s v="M"/>
    <x v="2"/>
    <x v="1"/>
    <x v="0"/>
    <x v="8"/>
    <x v="2"/>
    <x v="9"/>
    <x v="1"/>
  </r>
  <r>
    <x v="1751"/>
    <x v="2"/>
    <x v="2"/>
    <n v="63.2"/>
    <n v="189.60000000000002"/>
    <x v="63"/>
    <d v="2025-03-06T00:00:00"/>
    <s v="F"/>
    <x v="0"/>
    <x v="2"/>
    <x v="0"/>
    <x v="8"/>
    <x v="3"/>
    <x v="9"/>
    <x v="2"/>
  </r>
  <r>
    <x v="1752"/>
    <x v="14"/>
    <x v="44"/>
    <n v="39.700000000000003"/>
    <n v="913.1"/>
    <x v="63"/>
    <d v="2025-03-06T00:00:00"/>
    <s v="M"/>
    <x v="0"/>
    <x v="0"/>
    <x v="0"/>
    <x v="8"/>
    <x v="3"/>
    <x v="9"/>
    <x v="1"/>
  </r>
  <r>
    <x v="1753"/>
    <x v="10"/>
    <x v="2"/>
    <n v="45.8"/>
    <n v="137.39999999999998"/>
    <x v="63"/>
    <d v="2025-03-06T00:00:00"/>
    <s v="F"/>
    <x v="1"/>
    <x v="2"/>
    <x v="0"/>
    <x v="8"/>
    <x v="3"/>
    <x v="9"/>
    <x v="2"/>
  </r>
  <r>
    <x v="1754"/>
    <x v="0"/>
    <x v="13"/>
    <n v="12.4"/>
    <n v="74.400000000000006"/>
    <x v="63"/>
    <d v="2025-03-08T00:00:00"/>
    <s v="M"/>
    <x v="0"/>
    <x v="0"/>
    <x v="0"/>
    <x v="8"/>
    <x v="2"/>
    <x v="9"/>
    <x v="1"/>
  </r>
  <r>
    <x v="1755"/>
    <x v="14"/>
    <x v="2"/>
    <n v="50.8"/>
    <n v="152.39999999999998"/>
    <x v="64"/>
    <d v="2025-03-06T00:00:00"/>
    <s v="F"/>
    <x v="4"/>
    <x v="0"/>
    <x v="0"/>
    <x v="17"/>
    <x v="7"/>
    <x v="9"/>
    <x v="2"/>
  </r>
  <r>
    <x v="1756"/>
    <x v="9"/>
    <x v="0"/>
    <n v="76"/>
    <n v="76"/>
    <x v="64"/>
    <d v="2025-03-10T00:00:00"/>
    <s v="O"/>
    <x v="2"/>
    <x v="2"/>
    <x v="0"/>
    <x v="17"/>
    <x v="5"/>
    <x v="9"/>
    <x v="3"/>
  </r>
  <r>
    <x v="1757"/>
    <x v="1"/>
    <x v="1"/>
    <n v="51.9"/>
    <n v="103.8"/>
    <x v="64"/>
    <d v="2025-03-07T00:00:00"/>
    <s v="M"/>
    <x v="1"/>
    <x v="2"/>
    <x v="0"/>
    <x v="26"/>
    <x v="3"/>
    <x v="9"/>
    <x v="1"/>
  </r>
  <r>
    <x v="1758"/>
    <x v="2"/>
    <x v="1"/>
    <n v="93.4"/>
    <n v="186.8"/>
    <x v="64"/>
    <d v="2025-03-13T00:00:00"/>
    <s v="M"/>
    <x v="0"/>
    <x v="3"/>
    <x v="0"/>
    <x v="11"/>
    <x v="6"/>
    <x v="9"/>
    <x v="1"/>
  </r>
  <r>
    <x v="1759"/>
    <x v="7"/>
    <x v="13"/>
    <n v="30.8"/>
    <n v="184.8"/>
    <x v="64"/>
    <d v="2025-03-09T00:00:00"/>
    <s v="F"/>
    <x v="1"/>
    <x v="0"/>
    <x v="0"/>
    <x v="11"/>
    <x v="2"/>
    <x v="9"/>
    <x v="2"/>
  </r>
  <r>
    <x v="1760"/>
    <x v="2"/>
    <x v="0"/>
    <n v="143.19999999999999"/>
    <n v="143.19999999999999"/>
    <x v="64"/>
    <d v="2025-03-09T00:00:00"/>
    <s v="M"/>
    <x v="2"/>
    <x v="0"/>
    <x v="0"/>
    <x v="11"/>
    <x v="2"/>
    <x v="9"/>
    <x v="1"/>
  </r>
  <r>
    <x v="1761"/>
    <x v="6"/>
    <x v="5"/>
    <n v="40.4"/>
    <n v="444.4"/>
    <x v="64"/>
    <d v="2025-03-08T00:00:00"/>
    <s v="M"/>
    <x v="2"/>
    <x v="2"/>
    <x v="0"/>
    <x v="18"/>
    <x v="1"/>
    <x v="9"/>
    <x v="1"/>
  </r>
  <r>
    <x v="1762"/>
    <x v="2"/>
    <x v="10"/>
    <n v="131.5"/>
    <n v="2498.5"/>
    <x v="64"/>
    <d v="2025-03-08T00:00:00"/>
    <s v="M"/>
    <x v="1"/>
    <x v="1"/>
    <x v="0"/>
    <x v="18"/>
    <x v="1"/>
    <x v="9"/>
    <x v="1"/>
  </r>
  <r>
    <x v="1763"/>
    <x v="18"/>
    <x v="3"/>
    <n v="61.6"/>
    <n v="431.2"/>
    <x v="64"/>
    <d v="2025-03-07T00:00:00"/>
    <s v="M"/>
    <x v="2"/>
    <x v="0"/>
    <x v="0"/>
    <x v="21"/>
    <x v="3"/>
    <x v="9"/>
    <x v="1"/>
  </r>
  <r>
    <x v="1764"/>
    <x v="9"/>
    <x v="9"/>
    <n v="32.700000000000003"/>
    <n v="163.5"/>
    <x v="64"/>
    <d v="2025-03-08T00:00:00"/>
    <s v="M"/>
    <x v="2"/>
    <x v="0"/>
    <x v="0"/>
    <x v="1"/>
    <x v="1"/>
    <x v="9"/>
    <x v="1"/>
  </r>
  <r>
    <x v="1765"/>
    <x v="0"/>
    <x v="7"/>
    <n v="13.7"/>
    <n v="137"/>
    <x v="64"/>
    <d v="2025-03-07T00:00:00"/>
    <s v="M"/>
    <x v="0"/>
    <x v="2"/>
    <x v="0"/>
    <x v="3"/>
    <x v="3"/>
    <x v="9"/>
    <x v="1"/>
  </r>
  <r>
    <x v="1766"/>
    <x v="0"/>
    <x v="12"/>
    <n v="32.1"/>
    <n v="128.4"/>
    <x v="64"/>
    <d v="2025-03-07T00:00:00"/>
    <s v="M"/>
    <x v="4"/>
    <x v="1"/>
    <x v="0"/>
    <x v="3"/>
    <x v="3"/>
    <x v="9"/>
    <x v="1"/>
  </r>
  <r>
    <x v="1767"/>
    <x v="14"/>
    <x v="8"/>
    <n v="12"/>
    <n v="96"/>
    <x v="64"/>
    <d v="2025-03-07T00:00:00"/>
    <s v="M"/>
    <x v="1"/>
    <x v="0"/>
    <x v="0"/>
    <x v="24"/>
    <x v="3"/>
    <x v="9"/>
    <x v="1"/>
  </r>
  <r>
    <x v="1768"/>
    <x v="12"/>
    <x v="0"/>
    <n v="64.3"/>
    <n v="64.3"/>
    <x v="64"/>
    <d v="2025-03-08T00:00:00"/>
    <s v="F"/>
    <x v="2"/>
    <x v="2"/>
    <x v="0"/>
    <x v="6"/>
    <x v="1"/>
    <x v="9"/>
    <x v="2"/>
  </r>
  <r>
    <x v="1769"/>
    <x v="1"/>
    <x v="2"/>
    <n v="58.2"/>
    <n v="174.60000000000002"/>
    <x v="64"/>
    <d v="2025-03-08T00:00:00"/>
    <s v="F"/>
    <x v="1"/>
    <x v="2"/>
    <x v="0"/>
    <x v="6"/>
    <x v="1"/>
    <x v="9"/>
    <x v="2"/>
  </r>
  <r>
    <x v="1770"/>
    <x v="6"/>
    <x v="12"/>
    <n v="59.2"/>
    <n v="236.8"/>
    <x v="64"/>
    <d v="2025-03-06T00:00:00"/>
    <s v="M"/>
    <x v="1"/>
    <x v="2"/>
    <x v="0"/>
    <x v="6"/>
    <x v="7"/>
    <x v="9"/>
    <x v="1"/>
  </r>
  <r>
    <x v="1771"/>
    <x v="10"/>
    <x v="5"/>
    <n v="35.6"/>
    <n v="391.6"/>
    <x v="64"/>
    <d v="2025-03-13T00:00:00"/>
    <s v="M"/>
    <x v="0"/>
    <x v="2"/>
    <x v="0"/>
    <x v="8"/>
    <x v="6"/>
    <x v="9"/>
    <x v="1"/>
  </r>
  <r>
    <x v="1772"/>
    <x v="16"/>
    <x v="8"/>
    <n v="37"/>
    <n v="296"/>
    <x v="64"/>
    <d v="2025-03-10T00:00:00"/>
    <s v="F"/>
    <x v="2"/>
    <x v="1"/>
    <x v="0"/>
    <x v="8"/>
    <x v="5"/>
    <x v="9"/>
    <x v="2"/>
  </r>
  <r>
    <x v="1773"/>
    <x v="1"/>
    <x v="15"/>
    <n v="80.8"/>
    <n v="1050.3999999999999"/>
    <x v="64"/>
    <d v="2025-03-08T00:00:00"/>
    <s v="F"/>
    <x v="0"/>
    <x v="0"/>
    <x v="0"/>
    <x v="8"/>
    <x v="1"/>
    <x v="9"/>
    <x v="2"/>
  </r>
  <r>
    <x v="1774"/>
    <x v="8"/>
    <x v="1"/>
    <n v="63.2"/>
    <n v="126.4"/>
    <x v="64"/>
    <d v="2025-03-07T00:00:00"/>
    <s v="M"/>
    <x v="0"/>
    <x v="1"/>
    <x v="0"/>
    <x v="8"/>
    <x v="3"/>
    <x v="9"/>
    <x v="1"/>
  </r>
  <r>
    <x v="1775"/>
    <x v="3"/>
    <x v="1"/>
    <n v="40.799999999999997"/>
    <n v="81.599999999999994"/>
    <x v="64"/>
    <d v="2025-03-08T00:00:00"/>
    <s v="M"/>
    <x v="0"/>
    <x v="1"/>
    <x v="0"/>
    <x v="17"/>
    <x v="1"/>
    <x v="9"/>
    <x v="1"/>
  </r>
  <r>
    <x v="1776"/>
    <x v="13"/>
    <x v="13"/>
    <n v="25.7"/>
    <n v="154.19999999999999"/>
    <x v="64"/>
    <d v="2025-03-08T00:00:00"/>
    <s v="M"/>
    <x v="4"/>
    <x v="0"/>
    <x v="0"/>
    <x v="18"/>
    <x v="1"/>
    <x v="9"/>
    <x v="1"/>
  </r>
  <r>
    <x v="1777"/>
    <x v="16"/>
    <x v="1"/>
    <n v="49.9"/>
    <n v="99.8"/>
    <x v="64"/>
    <d v="2025-03-09T00:00:00"/>
    <s v="M"/>
    <x v="0"/>
    <x v="0"/>
    <x v="0"/>
    <x v="20"/>
    <x v="2"/>
    <x v="9"/>
    <x v="1"/>
  </r>
  <r>
    <x v="1778"/>
    <x v="8"/>
    <x v="1"/>
    <n v="20.2"/>
    <n v="40.4"/>
    <x v="64"/>
    <d v="2025-03-08T00:00:00"/>
    <s v="F"/>
    <x v="3"/>
    <x v="0"/>
    <x v="0"/>
    <x v="21"/>
    <x v="1"/>
    <x v="9"/>
    <x v="2"/>
  </r>
  <r>
    <x v="1779"/>
    <x v="6"/>
    <x v="2"/>
    <n v="48.4"/>
    <n v="145.19999999999999"/>
    <x v="64"/>
    <d v="2025-03-11T00:00:00"/>
    <s v="F"/>
    <x v="0"/>
    <x v="2"/>
    <x v="0"/>
    <x v="21"/>
    <x v="0"/>
    <x v="9"/>
    <x v="2"/>
  </r>
  <r>
    <x v="1780"/>
    <x v="6"/>
    <x v="1"/>
    <n v="81"/>
    <n v="162"/>
    <x v="64"/>
    <d v="2025-03-07T00:00:00"/>
    <s v="F"/>
    <x v="1"/>
    <x v="2"/>
    <x v="0"/>
    <x v="21"/>
    <x v="3"/>
    <x v="9"/>
    <x v="2"/>
  </r>
  <r>
    <x v="1781"/>
    <x v="8"/>
    <x v="13"/>
    <n v="19.899999999999999"/>
    <n v="119.39999999999999"/>
    <x v="64"/>
    <d v="2025-03-09T00:00:00"/>
    <s v="F"/>
    <x v="0"/>
    <x v="1"/>
    <x v="0"/>
    <x v="22"/>
    <x v="2"/>
    <x v="9"/>
    <x v="2"/>
  </r>
  <r>
    <x v="1782"/>
    <x v="4"/>
    <x v="12"/>
    <n v="32.200000000000003"/>
    <n v="128.80000000000001"/>
    <x v="64"/>
    <d v="2025-03-16T00:00:00"/>
    <s v="M"/>
    <x v="0"/>
    <x v="0"/>
    <x v="0"/>
    <x v="22"/>
    <x v="14"/>
    <x v="9"/>
    <x v="1"/>
  </r>
  <r>
    <x v="1783"/>
    <x v="5"/>
    <x v="2"/>
    <n v="76.8"/>
    <n v="230.39999999999998"/>
    <x v="64"/>
    <d v="2025-03-07T00:00:00"/>
    <s v="F"/>
    <x v="0"/>
    <x v="1"/>
    <x v="0"/>
    <x v="3"/>
    <x v="3"/>
    <x v="9"/>
    <x v="2"/>
  </r>
  <r>
    <x v="1784"/>
    <x v="6"/>
    <x v="1"/>
    <n v="41.9"/>
    <n v="83.8"/>
    <x v="64"/>
    <d v="2025-03-08T00:00:00"/>
    <s v="F"/>
    <x v="0"/>
    <x v="0"/>
    <x v="0"/>
    <x v="3"/>
    <x v="1"/>
    <x v="9"/>
    <x v="2"/>
  </r>
  <r>
    <x v="1785"/>
    <x v="0"/>
    <x v="3"/>
    <n v="34"/>
    <n v="238"/>
    <x v="64"/>
    <d v="2025-03-08T00:00:00"/>
    <s v="F"/>
    <x v="1"/>
    <x v="2"/>
    <x v="0"/>
    <x v="3"/>
    <x v="1"/>
    <x v="9"/>
    <x v="2"/>
  </r>
  <r>
    <x v="1786"/>
    <x v="7"/>
    <x v="3"/>
    <n v="61.3"/>
    <n v="429.09999999999997"/>
    <x v="64"/>
    <d v="2025-03-06T00:00:00"/>
    <s v="F"/>
    <x v="4"/>
    <x v="2"/>
    <x v="0"/>
    <x v="3"/>
    <x v="7"/>
    <x v="9"/>
    <x v="2"/>
  </r>
  <r>
    <x v="1787"/>
    <x v="9"/>
    <x v="0"/>
    <n v="54.7"/>
    <n v="54.7"/>
    <x v="65"/>
    <d v="2025-03-08T00:00:00"/>
    <s v="M"/>
    <x v="0"/>
    <x v="1"/>
    <x v="0"/>
    <x v="3"/>
    <x v="3"/>
    <x v="9"/>
    <x v="1"/>
  </r>
  <r>
    <x v="1788"/>
    <x v="6"/>
    <x v="7"/>
    <n v="84.7"/>
    <n v="847"/>
    <x v="65"/>
    <d v="2025-03-11T00:00:00"/>
    <s v="F"/>
    <x v="0"/>
    <x v="0"/>
    <x v="0"/>
    <x v="3"/>
    <x v="5"/>
    <x v="9"/>
    <x v="2"/>
  </r>
  <r>
    <x v="1789"/>
    <x v="1"/>
    <x v="2"/>
    <n v="93.4"/>
    <n v="280.20000000000005"/>
    <x v="65"/>
    <d v="2025-03-11T00:00:00"/>
    <s v="F"/>
    <x v="3"/>
    <x v="0"/>
    <x v="0"/>
    <x v="3"/>
    <x v="5"/>
    <x v="9"/>
    <x v="2"/>
  </r>
  <r>
    <x v="1790"/>
    <x v="8"/>
    <x v="9"/>
    <n v="27"/>
    <n v="135"/>
    <x v="65"/>
    <d v="2025-03-10T00:00:00"/>
    <s v="M"/>
    <x v="0"/>
    <x v="1"/>
    <x v="0"/>
    <x v="3"/>
    <x v="2"/>
    <x v="9"/>
    <x v="1"/>
  </r>
  <r>
    <x v="1791"/>
    <x v="0"/>
    <x v="12"/>
    <n v="10.9"/>
    <n v="43.6"/>
    <x v="65"/>
    <d v="2025-03-08T00:00:00"/>
    <s v="M"/>
    <x v="2"/>
    <x v="0"/>
    <x v="0"/>
    <x v="3"/>
    <x v="3"/>
    <x v="9"/>
    <x v="1"/>
  </r>
  <r>
    <x v="1792"/>
    <x v="16"/>
    <x v="2"/>
    <n v="48"/>
    <n v="144"/>
    <x v="65"/>
    <d v="2025-03-12T00:00:00"/>
    <s v="F"/>
    <x v="4"/>
    <x v="0"/>
    <x v="0"/>
    <x v="3"/>
    <x v="0"/>
    <x v="9"/>
    <x v="2"/>
  </r>
  <r>
    <x v="1793"/>
    <x v="5"/>
    <x v="1"/>
    <n v="67.900000000000006"/>
    <n v="135.80000000000001"/>
    <x v="65"/>
    <d v="2025-03-08T00:00:00"/>
    <s v="M"/>
    <x v="0"/>
    <x v="2"/>
    <x v="0"/>
    <x v="23"/>
    <x v="3"/>
    <x v="9"/>
    <x v="1"/>
  </r>
  <r>
    <x v="1794"/>
    <x v="4"/>
    <x v="2"/>
    <n v="36"/>
    <n v="108"/>
    <x v="65"/>
    <d v="2025-03-08T00:00:00"/>
    <s v="M"/>
    <x v="1"/>
    <x v="0"/>
    <x v="0"/>
    <x v="6"/>
    <x v="3"/>
    <x v="9"/>
    <x v="1"/>
  </r>
  <r>
    <x v="1795"/>
    <x v="2"/>
    <x v="0"/>
    <n v="128.80000000000001"/>
    <n v="128.80000000000001"/>
    <x v="65"/>
    <d v="2025-03-08T00:00:00"/>
    <s v="M"/>
    <x v="4"/>
    <x v="2"/>
    <x v="0"/>
    <x v="6"/>
    <x v="3"/>
    <x v="9"/>
    <x v="1"/>
  </r>
  <r>
    <x v="1796"/>
    <x v="18"/>
    <x v="3"/>
    <n v="33.299999999999997"/>
    <n v="233.09999999999997"/>
    <x v="65"/>
    <d v="2025-03-08T00:00:00"/>
    <s v="F"/>
    <x v="3"/>
    <x v="0"/>
    <x v="0"/>
    <x v="8"/>
    <x v="3"/>
    <x v="9"/>
    <x v="2"/>
  </r>
  <r>
    <x v="1797"/>
    <x v="10"/>
    <x v="2"/>
    <n v="37.799999999999997"/>
    <n v="113.39999999999999"/>
    <x v="65"/>
    <d v="2025-03-09T00:00:00"/>
    <s v="M"/>
    <x v="1"/>
    <x v="2"/>
    <x v="0"/>
    <x v="8"/>
    <x v="1"/>
    <x v="9"/>
    <x v="1"/>
  </r>
  <r>
    <x v="1798"/>
    <x v="5"/>
    <x v="2"/>
    <n v="26"/>
    <n v="78"/>
    <x v="65"/>
    <d v="2025-03-12T00:00:00"/>
    <s v="F"/>
    <x v="0"/>
    <x v="0"/>
    <x v="0"/>
    <x v="8"/>
    <x v="0"/>
    <x v="9"/>
    <x v="2"/>
  </r>
  <r>
    <x v="1799"/>
    <x v="8"/>
    <x v="10"/>
    <n v="28.3"/>
    <n v="537.70000000000005"/>
    <x v="65"/>
    <d v="2025-03-08T00:00:00"/>
    <s v="F"/>
    <x v="3"/>
    <x v="4"/>
    <x v="0"/>
    <x v="8"/>
    <x v="3"/>
    <x v="9"/>
    <x v="2"/>
  </r>
  <r>
    <x v="1800"/>
    <x v="8"/>
    <x v="12"/>
    <n v="31.3"/>
    <n v="125.2"/>
    <x v="65"/>
    <d v="2025-03-07T00:00:00"/>
    <s v="F"/>
    <x v="0"/>
    <x v="0"/>
    <x v="0"/>
    <x v="8"/>
    <x v="7"/>
    <x v="9"/>
    <x v="2"/>
  </r>
  <r>
    <x v="1801"/>
    <x v="7"/>
    <x v="2"/>
    <n v="69.5"/>
    <n v="208.5"/>
    <x v="65"/>
    <d v="2025-03-08T00:00:00"/>
    <s v="F"/>
    <x v="3"/>
    <x v="2"/>
    <x v="0"/>
    <x v="8"/>
    <x v="3"/>
    <x v="9"/>
    <x v="2"/>
  </r>
  <r>
    <x v="1802"/>
    <x v="0"/>
    <x v="1"/>
    <n v="16.7"/>
    <n v="33.4"/>
    <x v="65"/>
    <d v="2025-03-08T00:00:00"/>
    <s v="F"/>
    <x v="3"/>
    <x v="1"/>
    <x v="0"/>
    <x v="8"/>
    <x v="3"/>
    <x v="9"/>
    <x v="2"/>
  </r>
  <r>
    <x v="1803"/>
    <x v="9"/>
    <x v="1"/>
    <n v="62.6"/>
    <n v="125.2"/>
    <x v="65"/>
    <d v="2025-03-08T00:00:00"/>
    <s v="M"/>
    <x v="2"/>
    <x v="2"/>
    <x v="0"/>
    <x v="9"/>
    <x v="3"/>
    <x v="9"/>
    <x v="1"/>
  </r>
  <r>
    <x v="1804"/>
    <x v="7"/>
    <x v="0"/>
    <n v="81.2"/>
    <n v="81.2"/>
    <x v="65"/>
    <d v="2025-03-13T00:00:00"/>
    <s v="M"/>
    <x v="4"/>
    <x v="4"/>
    <x v="0"/>
    <x v="9"/>
    <x v="4"/>
    <x v="9"/>
    <x v="1"/>
  </r>
  <r>
    <x v="1805"/>
    <x v="0"/>
    <x v="7"/>
    <n v="12.7"/>
    <n v="127"/>
    <x v="65"/>
    <d v="2025-03-08T00:00:00"/>
    <s v="F"/>
    <x v="0"/>
    <x v="2"/>
    <x v="0"/>
    <x v="9"/>
    <x v="3"/>
    <x v="9"/>
    <x v="2"/>
  </r>
  <r>
    <x v="1806"/>
    <x v="7"/>
    <x v="12"/>
    <n v="77.7"/>
    <n v="310.8"/>
    <x v="66"/>
    <d v="2025-03-12T00:00:00"/>
    <s v="M"/>
    <x v="1"/>
    <x v="0"/>
    <x v="0"/>
    <x v="11"/>
    <x v="5"/>
    <x v="9"/>
    <x v="1"/>
  </r>
  <r>
    <x v="1807"/>
    <x v="5"/>
    <x v="1"/>
    <n v="37.299999999999997"/>
    <n v="74.599999999999994"/>
    <x v="66"/>
    <d v="2025-03-09T00:00:00"/>
    <s v="F"/>
    <x v="0"/>
    <x v="2"/>
    <x v="0"/>
    <x v="18"/>
    <x v="3"/>
    <x v="9"/>
    <x v="2"/>
  </r>
  <r>
    <x v="1808"/>
    <x v="10"/>
    <x v="12"/>
    <n v="35.6"/>
    <n v="142.4"/>
    <x v="66"/>
    <d v="2025-03-10T00:00:00"/>
    <s v="F"/>
    <x v="1"/>
    <x v="1"/>
    <x v="0"/>
    <x v="19"/>
    <x v="1"/>
    <x v="9"/>
    <x v="2"/>
  </r>
  <r>
    <x v="1809"/>
    <x v="2"/>
    <x v="2"/>
    <n v="95"/>
    <n v="285"/>
    <x v="66"/>
    <d v="2025-03-12T00:00:00"/>
    <s v="F"/>
    <x v="2"/>
    <x v="2"/>
    <x v="0"/>
    <x v="56"/>
    <x v="5"/>
    <x v="9"/>
    <x v="2"/>
  </r>
  <r>
    <x v="1810"/>
    <x v="2"/>
    <x v="12"/>
    <n v="172.1"/>
    <n v="688.4"/>
    <x v="66"/>
    <d v="2025-03-12T00:00:00"/>
    <s v="O"/>
    <x v="2"/>
    <x v="2"/>
    <x v="0"/>
    <x v="21"/>
    <x v="5"/>
    <x v="9"/>
    <x v="3"/>
  </r>
  <r>
    <x v="1811"/>
    <x v="2"/>
    <x v="1"/>
    <n v="233"/>
    <n v="466"/>
    <x v="66"/>
    <d v="2025-03-11T00:00:00"/>
    <s v="F"/>
    <x v="1"/>
    <x v="0"/>
    <x v="0"/>
    <x v="21"/>
    <x v="2"/>
    <x v="9"/>
    <x v="2"/>
  </r>
  <r>
    <x v="1812"/>
    <x v="0"/>
    <x v="0"/>
    <n v="43.5"/>
    <n v="43.5"/>
    <x v="66"/>
    <d v="2025-03-09T00:00:00"/>
    <s v="F"/>
    <x v="2"/>
    <x v="2"/>
    <x v="0"/>
    <x v="21"/>
    <x v="3"/>
    <x v="9"/>
    <x v="2"/>
  </r>
  <r>
    <x v="1813"/>
    <x v="9"/>
    <x v="1"/>
    <n v="47.8"/>
    <n v="95.6"/>
    <x v="66"/>
    <d v="2025-03-11T00:00:00"/>
    <s v="M"/>
    <x v="4"/>
    <x v="2"/>
    <x v="0"/>
    <x v="1"/>
    <x v="2"/>
    <x v="9"/>
    <x v="1"/>
  </r>
  <r>
    <x v="1814"/>
    <x v="12"/>
    <x v="1"/>
    <n v="65.8"/>
    <n v="131.6"/>
    <x v="66"/>
    <d v="2025-03-10T00:00:00"/>
    <s v="F"/>
    <x v="0"/>
    <x v="3"/>
    <x v="0"/>
    <x v="33"/>
    <x v="1"/>
    <x v="9"/>
    <x v="2"/>
  </r>
  <r>
    <x v="1815"/>
    <x v="15"/>
    <x v="5"/>
    <n v="38.700000000000003"/>
    <n v="425.70000000000005"/>
    <x v="66"/>
    <d v="2025-03-08T00:00:00"/>
    <s v="M"/>
    <x v="0"/>
    <x v="0"/>
    <x v="0"/>
    <x v="22"/>
    <x v="7"/>
    <x v="9"/>
    <x v="1"/>
  </r>
  <r>
    <x v="1816"/>
    <x v="3"/>
    <x v="12"/>
    <n v="55.7"/>
    <n v="222.8"/>
    <x v="66"/>
    <d v="2025-03-10T00:00:00"/>
    <s v="O"/>
    <x v="0"/>
    <x v="1"/>
    <x v="0"/>
    <x v="22"/>
    <x v="1"/>
    <x v="9"/>
    <x v="3"/>
  </r>
  <r>
    <x v="1817"/>
    <x v="7"/>
    <x v="1"/>
    <n v="102.4"/>
    <n v="204.8"/>
    <x v="66"/>
    <d v="2025-03-08T00:00:00"/>
    <s v="F"/>
    <x v="1"/>
    <x v="0"/>
    <x v="0"/>
    <x v="3"/>
    <x v="7"/>
    <x v="9"/>
    <x v="2"/>
  </r>
  <r>
    <x v="1818"/>
    <x v="1"/>
    <x v="0"/>
    <n v="92"/>
    <n v="92"/>
    <x v="66"/>
    <d v="2025-03-12T00:00:00"/>
    <s v=""/>
    <x v="2"/>
    <x v="0"/>
    <x v="0"/>
    <x v="3"/>
    <x v="5"/>
    <x v="9"/>
    <x v="0"/>
  </r>
  <r>
    <x v="1819"/>
    <x v="6"/>
    <x v="12"/>
    <n v="75.900000000000006"/>
    <n v="303.60000000000002"/>
    <x v="66"/>
    <d v="2025-03-10T00:00:00"/>
    <s v="F"/>
    <x v="1"/>
    <x v="0"/>
    <x v="0"/>
    <x v="3"/>
    <x v="1"/>
    <x v="9"/>
    <x v="2"/>
  </r>
  <r>
    <x v="1820"/>
    <x v="1"/>
    <x v="12"/>
    <n v="36.200000000000003"/>
    <n v="144.80000000000001"/>
    <x v="66"/>
    <d v="2025-03-09T00:00:00"/>
    <s v="F"/>
    <x v="1"/>
    <x v="0"/>
    <x v="0"/>
    <x v="3"/>
    <x v="3"/>
    <x v="9"/>
    <x v="2"/>
  </r>
  <r>
    <x v="1821"/>
    <x v="6"/>
    <x v="45"/>
    <n v="83.5"/>
    <n v="7264.5"/>
    <x v="66"/>
    <d v="2025-03-10T00:00:00"/>
    <s v=""/>
    <x v="3"/>
    <x v="0"/>
    <x v="0"/>
    <x v="3"/>
    <x v="1"/>
    <x v="9"/>
    <x v="0"/>
  </r>
  <r>
    <x v="1822"/>
    <x v="19"/>
    <x v="4"/>
    <n v="52.4"/>
    <n v="628.79999999999995"/>
    <x v="66"/>
    <d v="2025-03-08T00:00:00"/>
    <s v="M"/>
    <x v="2"/>
    <x v="0"/>
    <x v="0"/>
    <x v="3"/>
    <x v="7"/>
    <x v="9"/>
    <x v="1"/>
  </r>
  <r>
    <x v="1823"/>
    <x v="12"/>
    <x v="2"/>
    <n v="69.5"/>
    <n v="208.5"/>
    <x v="66"/>
    <d v="2025-03-09T00:00:00"/>
    <s v="O"/>
    <x v="4"/>
    <x v="0"/>
    <x v="0"/>
    <x v="3"/>
    <x v="3"/>
    <x v="9"/>
    <x v="3"/>
  </r>
  <r>
    <x v="1824"/>
    <x v="0"/>
    <x v="0"/>
    <n v="15.5"/>
    <n v="15.5"/>
    <x v="66"/>
    <d v="2025-03-10T00:00:00"/>
    <s v="M"/>
    <x v="0"/>
    <x v="0"/>
    <x v="0"/>
    <x v="3"/>
    <x v="1"/>
    <x v="9"/>
    <x v="1"/>
  </r>
  <r>
    <x v="1825"/>
    <x v="4"/>
    <x v="12"/>
    <n v="35.200000000000003"/>
    <n v="140.80000000000001"/>
    <x v="66"/>
    <d v="2025-03-09T00:00:00"/>
    <s v="F"/>
    <x v="2"/>
    <x v="2"/>
    <x v="0"/>
    <x v="3"/>
    <x v="3"/>
    <x v="9"/>
    <x v="2"/>
  </r>
  <r>
    <x v="1826"/>
    <x v="8"/>
    <x v="13"/>
    <n v="34.6"/>
    <n v="207.60000000000002"/>
    <x v="66"/>
    <d v="2025-03-09T00:00:00"/>
    <s v=""/>
    <x v="0"/>
    <x v="1"/>
    <x v="0"/>
    <x v="3"/>
    <x v="3"/>
    <x v="9"/>
    <x v="0"/>
  </r>
  <r>
    <x v="1827"/>
    <x v="4"/>
    <x v="0"/>
    <n v="21.3"/>
    <n v="21.3"/>
    <x v="67"/>
    <d v="2025-03-10T00:00:00"/>
    <s v="M"/>
    <x v="2"/>
    <x v="1"/>
    <x v="0"/>
    <x v="3"/>
    <x v="3"/>
    <x v="10"/>
    <x v="1"/>
  </r>
  <r>
    <x v="1828"/>
    <x v="6"/>
    <x v="1"/>
    <n v="136.5"/>
    <n v="273"/>
    <x v="67"/>
    <d v="2025-03-15T00:00:00"/>
    <s v="F"/>
    <x v="0"/>
    <x v="0"/>
    <x v="0"/>
    <x v="37"/>
    <x v="4"/>
    <x v="10"/>
    <x v="2"/>
  </r>
  <r>
    <x v="1829"/>
    <x v="9"/>
    <x v="3"/>
    <n v="30.7"/>
    <n v="214.9"/>
    <x v="67"/>
    <d v="2025-03-10T00:00:00"/>
    <s v="M"/>
    <x v="2"/>
    <x v="2"/>
    <x v="0"/>
    <x v="25"/>
    <x v="3"/>
    <x v="10"/>
    <x v="1"/>
  </r>
  <r>
    <x v="1830"/>
    <x v="1"/>
    <x v="1"/>
    <n v="61.6"/>
    <n v="123.2"/>
    <x v="67"/>
    <d v="2025-03-10T00:00:00"/>
    <s v="F"/>
    <x v="2"/>
    <x v="2"/>
    <x v="0"/>
    <x v="23"/>
    <x v="3"/>
    <x v="10"/>
    <x v="2"/>
  </r>
  <r>
    <x v="1831"/>
    <x v="6"/>
    <x v="12"/>
    <n v="54.3"/>
    <n v="217.2"/>
    <x v="67"/>
    <d v="2025-03-11T00:00:00"/>
    <s v=""/>
    <x v="4"/>
    <x v="0"/>
    <x v="0"/>
    <x v="7"/>
    <x v="1"/>
    <x v="10"/>
    <x v="0"/>
  </r>
  <r>
    <x v="1832"/>
    <x v="1"/>
    <x v="1"/>
    <n v="44.1"/>
    <n v="88.2"/>
    <x v="67"/>
    <d v="2025-03-21T00:00:00"/>
    <s v="F"/>
    <x v="0"/>
    <x v="2"/>
    <x v="0"/>
    <x v="8"/>
    <x v="13"/>
    <x v="10"/>
    <x v="2"/>
  </r>
  <r>
    <x v="1833"/>
    <x v="8"/>
    <x v="12"/>
    <n v="43.5"/>
    <n v="174"/>
    <x v="67"/>
    <d v="2025-03-15T00:00:00"/>
    <s v="M"/>
    <x v="3"/>
    <x v="0"/>
    <x v="0"/>
    <x v="8"/>
    <x v="4"/>
    <x v="10"/>
    <x v="1"/>
  </r>
  <r>
    <x v="1834"/>
    <x v="8"/>
    <x v="2"/>
    <n v="48.2"/>
    <n v="144.60000000000002"/>
    <x v="67"/>
    <d v="2025-03-13T00:00:00"/>
    <s v="M"/>
    <x v="3"/>
    <x v="1"/>
    <x v="0"/>
    <x v="8"/>
    <x v="5"/>
    <x v="10"/>
    <x v="1"/>
  </r>
  <r>
    <x v="1835"/>
    <x v="19"/>
    <x v="0"/>
    <n v="13.7"/>
    <n v="13.7"/>
    <x v="67"/>
    <d v="2025-03-10T00:00:00"/>
    <s v="F"/>
    <x v="2"/>
    <x v="2"/>
    <x v="0"/>
    <x v="8"/>
    <x v="3"/>
    <x v="10"/>
    <x v="2"/>
  </r>
  <r>
    <x v="1836"/>
    <x v="2"/>
    <x v="1"/>
    <n v="110.5"/>
    <n v="221"/>
    <x v="67"/>
    <d v="2025-03-10T00:00:00"/>
    <s v="F"/>
    <x v="0"/>
    <x v="1"/>
    <x v="0"/>
    <x v="8"/>
    <x v="3"/>
    <x v="10"/>
    <x v="2"/>
  </r>
  <r>
    <x v="1837"/>
    <x v="8"/>
    <x v="2"/>
    <n v="26"/>
    <n v="78"/>
    <x v="67"/>
    <d v="2025-03-14T00:00:00"/>
    <s v="F"/>
    <x v="1"/>
    <x v="1"/>
    <x v="0"/>
    <x v="8"/>
    <x v="0"/>
    <x v="10"/>
    <x v="2"/>
  </r>
  <r>
    <x v="1838"/>
    <x v="2"/>
    <x v="7"/>
    <n v="140.69999999999999"/>
    <n v="1407"/>
    <x v="67"/>
    <d v="2025-03-15T00:00:00"/>
    <s v="M"/>
    <x v="3"/>
    <x v="1"/>
    <x v="0"/>
    <x v="8"/>
    <x v="4"/>
    <x v="10"/>
    <x v="1"/>
  </r>
  <r>
    <x v="1839"/>
    <x v="17"/>
    <x v="1"/>
    <n v="41.7"/>
    <n v="83.4"/>
    <x v="67"/>
    <d v="2025-03-17T00:00:00"/>
    <s v="F"/>
    <x v="0"/>
    <x v="4"/>
    <x v="0"/>
    <x v="8"/>
    <x v="9"/>
    <x v="10"/>
    <x v="2"/>
  </r>
  <r>
    <x v="1840"/>
    <x v="2"/>
    <x v="1"/>
    <n v="135.1"/>
    <n v="270.2"/>
    <x v="67"/>
    <d v="2025-03-10T00:00:00"/>
    <s v="M"/>
    <x v="0"/>
    <x v="2"/>
    <x v="0"/>
    <x v="17"/>
    <x v="3"/>
    <x v="10"/>
    <x v="1"/>
  </r>
  <r>
    <x v="1841"/>
    <x v="12"/>
    <x v="32"/>
    <n v="95.5"/>
    <n v="2101"/>
    <x v="67"/>
    <d v="2025-03-10T00:00:00"/>
    <s v="F"/>
    <x v="4"/>
    <x v="4"/>
    <x v="0"/>
    <x v="26"/>
    <x v="3"/>
    <x v="10"/>
    <x v="2"/>
  </r>
  <r>
    <x v="1842"/>
    <x v="15"/>
    <x v="0"/>
    <n v="25.5"/>
    <n v="25.5"/>
    <x v="67"/>
    <d v="2025-03-12T00:00:00"/>
    <s v=""/>
    <x v="2"/>
    <x v="2"/>
    <x v="0"/>
    <x v="11"/>
    <x v="2"/>
    <x v="10"/>
    <x v="0"/>
  </r>
  <r>
    <x v="1843"/>
    <x v="1"/>
    <x v="0"/>
    <n v="42.6"/>
    <n v="42.6"/>
    <x v="67"/>
    <d v="2025-03-13T00:00:00"/>
    <s v="F"/>
    <x v="0"/>
    <x v="0"/>
    <x v="0"/>
    <x v="11"/>
    <x v="5"/>
    <x v="10"/>
    <x v="2"/>
  </r>
  <r>
    <x v="1844"/>
    <x v="8"/>
    <x v="20"/>
    <n v="32.4"/>
    <n v="486"/>
    <x v="67"/>
    <d v="2025-03-10T00:00:00"/>
    <s v="M"/>
    <x v="1"/>
    <x v="1"/>
    <x v="0"/>
    <x v="11"/>
    <x v="3"/>
    <x v="10"/>
    <x v="1"/>
  </r>
  <r>
    <x v="1845"/>
    <x v="4"/>
    <x v="12"/>
    <n v="20.2"/>
    <n v="80.8"/>
    <x v="67"/>
    <d v="2025-03-10T00:00:00"/>
    <s v="O"/>
    <x v="2"/>
    <x v="0"/>
    <x v="0"/>
    <x v="11"/>
    <x v="3"/>
    <x v="10"/>
    <x v="3"/>
  </r>
  <r>
    <x v="1846"/>
    <x v="16"/>
    <x v="2"/>
    <n v="52.5"/>
    <n v="157.5"/>
    <x v="67"/>
    <d v="2025-03-14T00:00:00"/>
    <s v="F"/>
    <x v="4"/>
    <x v="0"/>
    <x v="0"/>
    <x v="18"/>
    <x v="0"/>
    <x v="10"/>
    <x v="2"/>
  </r>
  <r>
    <x v="1847"/>
    <x v="2"/>
    <x v="9"/>
    <n v="59.9"/>
    <n v="299.5"/>
    <x v="67"/>
    <d v="2025-03-11T00:00:00"/>
    <s v="F"/>
    <x v="2"/>
    <x v="0"/>
    <x v="0"/>
    <x v="19"/>
    <x v="1"/>
    <x v="10"/>
    <x v="2"/>
  </r>
  <r>
    <x v="1848"/>
    <x v="4"/>
    <x v="1"/>
    <n v="53.2"/>
    <n v="106.4"/>
    <x v="67"/>
    <d v="2025-03-10T00:00:00"/>
    <s v="F"/>
    <x v="1"/>
    <x v="3"/>
    <x v="0"/>
    <x v="20"/>
    <x v="3"/>
    <x v="10"/>
    <x v="2"/>
  </r>
  <r>
    <x v="1849"/>
    <x v="2"/>
    <x v="1"/>
    <n v="60"/>
    <n v="120"/>
    <x v="67"/>
    <d v="2025-03-15T00:00:00"/>
    <s v="M"/>
    <x v="1"/>
    <x v="2"/>
    <x v="0"/>
    <x v="20"/>
    <x v="4"/>
    <x v="10"/>
    <x v="1"/>
  </r>
  <r>
    <x v="1850"/>
    <x v="8"/>
    <x v="2"/>
    <n v="29.3"/>
    <n v="87.9"/>
    <x v="67"/>
    <d v="2025-03-10T00:00:00"/>
    <s v="F"/>
    <x v="4"/>
    <x v="0"/>
    <x v="0"/>
    <x v="13"/>
    <x v="3"/>
    <x v="10"/>
    <x v="2"/>
  </r>
  <r>
    <x v="1851"/>
    <x v="12"/>
    <x v="1"/>
    <n v="55.4"/>
    <n v="110.8"/>
    <x v="67"/>
    <d v="2025-03-10T00:00:00"/>
    <s v="F"/>
    <x v="0"/>
    <x v="2"/>
    <x v="0"/>
    <x v="21"/>
    <x v="3"/>
    <x v="10"/>
    <x v="2"/>
  </r>
  <r>
    <x v="1852"/>
    <x v="0"/>
    <x v="9"/>
    <n v="20.100000000000001"/>
    <n v="100.5"/>
    <x v="67"/>
    <d v="2025-03-11T00:00:00"/>
    <s v="F"/>
    <x v="1"/>
    <x v="2"/>
    <x v="0"/>
    <x v="21"/>
    <x v="1"/>
    <x v="10"/>
    <x v="2"/>
  </r>
  <r>
    <x v="1853"/>
    <x v="14"/>
    <x v="9"/>
    <n v="24"/>
    <n v="120"/>
    <x v="67"/>
    <d v="2025-03-12T00:00:00"/>
    <s v="M"/>
    <x v="2"/>
    <x v="0"/>
    <x v="0"/>
    <x v="1"/>
    <x v="2"/>
    <x v="10"/>
    <x v="1"/>
  </r>
  <r>
    <x v="1854"/>
    <x v="8"/>
    <x v="1"/>
    <n v="30.6"/>
    <n v="61.2"/>
    <x v="68"/>
    <d v="2025-03-12T00:00:00"/>
    <s v="F"/>
    <x v="0"/>
    <x v="0"/>
    <x v="0"/>
    <x v="1"/>
    <x v="1"/>
    <x v="10"/>
    <x v="2"/>
  </r>
  <r>
    <x v="1855"/>
    <x v="10"/>
    <x v="9"/>
    <n v="33"/>
    <n v="165"/>
    <x v="68"/>
    <d v="2025-03-11T00:00:00"/>
    <s v="M"/>
    <x v="1"/>
    <x v="1"/>
    <x v="0"/>
    <x v="27"/>
    <x v="3"/>
    <x v="10"/>
    <x v="1"/>
  </r>
  <r>
    <x v="1856"/>
    <x v="17"/>
    <x v="11"/>
    <n v="42.1"/>
    <n v="378.90000000000003"/>
    <x v="68"/>
    <d v="2025-03-16T00:00:00"/>
    <s v="F"/>
    <x v="2"/>
    <x v="0"/>
    <x v="0"/>
    <x v="44"/>
    <x v="4"/>
    <x v="10"/>
    <x v="2"/>
  </r>
  <r>
    <x v="1857"/>
    <x v="6"/>
    <x v="3"/>
    <n v="77.7"/>
    <n v="543.9"/>
    <x v="68"/>
    <d v="2025-03-15T00:00:00"/>
    <s v="F"/>
    <x v="1"/>
    <x v="2"/>
    <x v="0"/>
    <x v="50"/>
    <x v="0"/>
    <x v="10"/>
    <x v="2"/>
  </r>
  <r>
    <x v="1858"/>
    <x v="17"/>
    <x v="13"/>
    <n v="22.7"/>
    <n v="136.19999999999999"/>
    <x v="68"/>
    <d v="2025-03-13T00:00:00"/>
    <s v="F"/>
    <x v="2"/>
    <x v="0"/>
    <x v="0"/>
    <x v="3"/>
    <x v="2"/>
    <x v="10"/>
    <x v="2"/>
  </r>
  <r>
    <x v="1859"/>
    <x v="2"/>
    <x v="1"/>
    <n v="133"/>
    <n v="266"/>
    <x v="68"/>
    <d v="2025-03-10T00:00:00"/>
    <s v="M"/>
    <x v="2"/>
    <x v="2"/>
    <x v="0"/>
    <x v="3"/>
    <x v="7"/>
    <x v="10"/>
    <x v="1"/>
  </r>
  <r>
    <x v="1860"/>
    <x v="0"/>
    <x v="1"/>
    <n v="23.3"/>
    <n v="46.6"/>
    <x v="68"/>
    <d v="2025-03-11T00:00:00"/>
    <s v="M"/>
    <x v="1"/>
    <x v="2"/>
    <x v="0"/>
    <x v="3"/>
    <x v="3"/>
    <x v="10"/>
    <x v="1"/>
  </r>
  <r>
    <x v="1861"/>
    <x v="8"/>
    <x v="2"/>
    <n v="20.7"/>
    <n v="62.099999999999994"/>
    <x v="68"/>
    <d v="2025-03-12T00:00:00"/>
    <s v="O"/>
    <x v="0"/>
    <x v="2"/>
    <x v="0"/>
    <x v="3"/>
    <x v="1"/>
    <x v="10"/>
    <x v="3"/>
  </r>
  <r>
    <x v="1862"/>
    <x v="12"/>
    <x v="1"/>
    <n v="47"/>
    <n v="94"/>
    <x v="68"/>
    <d v="2025-03-11T00:00:00"/>
    <s v="M"/>
    <x v="1"/>
    <x v="2"/>
    <x v="0"/>
    <x v="3"/>
    <x v="3"/>
    <x v="10"/>
    <x v="1"/>
  </r>
  <r>
    <x v="1863"/>
    <x v="12"/>
    <x v="2"/>
    <n v="38.200000000000003"/>
    <n v="114.60000000000001"/>
    <x v="68"/>
    <d v="2025-03-12T00:00:00"/>
    <s v="F"/>
    <x v="2"/>
    <x v="4"/>
    <x v="0"/>
    <x v="3"/>
    <x v="1"/>
    <x v="10"/>
    <x v="2"/>
  </r>
  <r>
    <x v="1864"/>
    <x v="9"/>
    <x v="0"/>
    <n v="39.1"/>
    <n v="39.1"/>
    <x v="68"/>
    <d v="2025-03-12T00:00:00"/>
    <s v="F"/>
    <x v="0"/>
    <x v="0"/>
    <x v="0"/>
    <x v="3"/>
    <x v="1"/>
    <x v="10"/>
    <x v="2"/>
  </r>
  <r>
    <x v="1865"/>
    <x v="7"/>
    <x v="30"/>
    <n v="55.6"/>
    <n v="1390"/>
    <x v="68"/>
    <d v="2025-03-12T00:00:00"/>
    <s v="M"/>
    <x v="0"/>
    <x v="2"/>
    <x v="0"/>
    <x v="3"/>
    <x v="1"/>
    <x v="10"/>
    <x v="1"/>
  </r>
  <r>
    <x v="1866"/>
    <x v="15"/>
    <x v="0"/>
    <n v="43.1"/>
    <n v="43.1"/>
    <x v="68"/>
    <d v="2025-03-10T00:00:00"/>
    <s v="O"/>
    <x v="1"/>
    <x v="2"/>
    <x v="0"/>
    <x v="3"/>
    <x v="7"/>
    <x v="10"/>
    <x v="3"/>
  </r>
  <r>
    <x v="1867"/>
    <x v="6"/>
    <x v="12"/>
    <n v="48.1"/>
    <n v="192.4"/>
    <x v="68"/>
    <d v="2025-03-11T00:00:00"/>
    <s v="F"/>
    <x v="4"/>
    <x v="2"/>
    <x v="0"/>
    <x v="3"/>
    <x v="3"/>
    <x v="10"/>
    <x v="2"/>
  </r>
  <r>
    <x v="1868"/>
    <x v="4"/>
    <x v="0"/>
    <n v="42"/>
    <n v="42"/>
    <x v="68"/>
    <d v="2025-03-11T00:00:00"/>
    <s v="O"/>
    <x v="0"/>
    <x v="0"/>
    <x v="0"/>
    <x v="3"/>
    <x v="3"/>
    <x v="10"/>
    <x v="3"/>
  </r>
  <r>
    <x v="1869"/>
    <x v="8"/>
    <x v="9"/>
    <n v="18.3"/>
    <n v="91.5"/>
    <x v="68"/>
    <d v="2025-03-10T00:00:00"/>
    <s v="F"/>
    <x v="2"/>
    <x v="0"/>
    <x v="0"/>
    <x v="3"/>
    <x v="7"/>
    <x v="10"/>
    <x v="2"/>
  </r>
  <r>
    <x v="1870"/>
    <x v="10"/>
    <x v="12"/>
    <n v="45.3"/>
    <n v="181.2"/>
    <x v="68"/>
    <d v="2025-03-13T00:00:00"/>
    <s v="F"/>
    <x v="0"/>
    <x v="2"/>
    <x v="0"/>
    <x v="3"/>
    <x v="2"/>
    <x v="10"/>
    <x v="2"/>
  </r>
  <r>
    <x v="1871"/>
    <x v="0"/>
    <x v="1"/>
    <n v="27.6"/>
    <n v="55.2"/>
    <x v="68"/>
    <d v="2025-03-12T00:00:00"/>
    <s v="M"/>
    <x v="0"/>
    <x v="2"/>
    <x v="0"/>
    <x v="37"/>
    <x v="1"/>
    <x v="10"/>
    <x v="1"/>
  </r>
  <r>
    <x v="1872"/>
    <x v="4"/>
    <x v="9"/>
    <n v="26.9"/>
    <n v="134.5"/>
    <x v="68"/>
    <d v="2025-03-11T00:00:00"/>
    <s v="F"/>
    <x v="2"/>
    <x v="0"/>
    <x v="0"/>
    <x v="25"/>
    <x v="3"/>
    <x v="10"/>
    <x v="2"/>
  </r>
  <r>
    <x v="1873"/>
    <x v="2"/>
    <x v="11"/>
    <n v="82.4"/>
    <n v="741.6"/>
    <x v="68"/>
    <d v="2025-03-12T00:00:00"/>
    <s v="O"/>
    <x v="2"/>
    <x v="0"/>
    <x v="0"/>
    <x v="5"/>
    <x v="1"/>
    <x v="10"/>
    <x v="3"/>
  </r>
  <r>
    <x v="1874"/>
    <x v="6"/>
    <x v="0"/>
    <n v="103.7"/>
    <n v="103.7"/>
    <x v="68"/>
    <d v="2025-03-12T00:00:00"/>
    <s v="F"/>
    <x v="1"/>
    <x v="0"/>
    <x v="0"/>
    <x v="5"/>
    <x v="1"/>
    <x v="10"/>
    <x v="2"/>
  </r>
  <r>
    <x v="1875"/>
    <x v="2"/>
    <x v="1"/>
    <n v="58.8"/>
    <n v="117.6"/>
    <x v="68"/>
    <d v="2025-03-15T00:00:00"/>
    <s v="F"/>
    <x v="1"/>
    <x v="2"/>
    <x v="0"/>
    <x v="6"/>
    <x v="0"/>
    <x v="10"/>
    <x v="2"/>
  </r>
  <r>
    <x v="1876"/>
    <x v="13"/>
    <x v="0"/>
    <n v="31.5"/>
    <n v="31.5"/>
    <x v="68"/>
    <d v="2025-03-11T00:00:00"/>
    <s v="F"/>
    <x v="1"/>
    <x v="1"/>
    <x v="0"/>
    <x v="6"/>
    <x v="3"/>
    <x v="10"/>
    <x v="2"/>
  </r>
  <r>
    <x v="1877"/>
    <x v="7"/>
    <x v="9"/>
    <n v="36.799999999999997"/>
    <n v="184"/>
    <x v="68"/>
    <d v="2025-03-12T00:00:00"/>
    <s v="F"/>
    <x v="0"/>
    <x v="0"/>
    <x v="0"/>
    <x v="8"/>
    <x v="1"/>
    <x v="10"/>
    <x v="2"/>
  </r>
  <r>
    <x v="1878"/>
    <x v="3"/>
    <x v="0"/>
    <n v="84.4"/>
    <n v="84.4"/>
    <x v="68"/>
    <d v="2025-03-11T00:00:00"/>
    <s v="F"/>
    <x v="0"/>
    <x v="0"/>
    <x v="0"/>
    <x v="8"/>
    <x v="3"/>
    <x v="10"/>
    <x v="2"/>
  </r>
  <r>
    <x v="1879"/>
    <x v="14"/>
    <x v="0"/>
    <n v="44.7"/>
    <n v="44.7"/>
    <x v="68"/>
    <d v="2025-03-11T00:00:00"/>
    <s v="M"/>
    <x v="0"/>
    <x v="1"/>
    <x v="0"/>
    <x v="8"/>
    <x v="3"/>
    <x v="10"/>
    <x v="1"/>
  </r>
  <r>
    <x v="1880"/>
    <x v="9"/>
    <x v="8"/>
    <n v="39.4"/>
    <n v="315.2"/>
    <x v="68"/>
    <d v="2025-03-11T00:00:00"/>
    <s v="F"/>
    <x v="1"/>
    <x v="2"/>
    <x v="0"/>
    <x v="8"/>
    <x v="3"/>
    <x v="10"/>
    <x v="2"/>
  </r>
  <r>
    <x v="1881"/>
    <x v="11"/>
    <x v="12"/>
    <n v="34.9"/>
    <n v="139.6"/>
    <x v="68"/>
    <d v="2025-03-12T00:00:00"/>
    <s v="F"/>
    <x v="0"/>
    <x v="2"/>
    <x v="0"/>
    <x v="8"/>
    <x v="1"/>
    <x v="10"/>
    <x v="2"/>
  </r>
  <r>
    <x v="1882"/>
    <x v="1"/>
    <x v="2"/>
    <n v="62.3"/>
    <n v="186.89999999999998"/>
    <x v="68"/>
    <d v="2025-03-12T00:00:00"/>
    <s v="M"/>
    <x v="4"/>
    <x v="2"/>
    <x v="0"/>
    <x v="8"/>
    <x v="1"/>
    <x v="10"/>
    <x v="1"/>
  </r>
  <r>
    <x v="1883"/>
    <x v="8"/>
    <x v="12"/>
    <n v="21.1"/>
    <n v="84.4"/>
    <x v="68"/>
    <d v="2025-03-13T00:00:00"/>
    <s v="M"/>
    <x v="3"/>
    <x v="0"/>
    <x v="0"/>
    <x v="8"/>
    <x v="2"/>
    <x v="10"/>
    <x v="1"/>
  </r>
  <r>
    <x v="1884"/>
    <x v="8"/>
    <x v="2"/>
    <n v="33.200000000000003"/>
    <n v="99.600000000000009"/>
    <x v="68"/>
    <d v="2025-03-24T00:00:00"/>
    <s v=""/>
    <x v="0"/>
    <x v="4"/>
    <x v="0"/>
    <x v="8"/>
    <x v="12"/>
    <x v="10"/>
    <x v="0"/>
  </r>
  <r>
    <x v="1885"/>
    <x v="1"/>
    <x v="12"/>
    <n v="74.5"/>
    <n v="298"/>
    <x v="68"/>
    <d v="2025-03-11T00:00:00"/>
    <s v="M"/>
    <x v="4"/>
    <x v="0"/>
    <x v="0"/>
    <x v="8"/>
    <x v="3"/>
    <x v="10"/>
    <x v="1"/>
  </r>
  <r>
    <x v="1886"/>
    <x v="10"/>
    <x v="4"/>
    <n v="68.599999999999994"/>
    <n v="823.19999999999993"/>
    <x v="68"/>
    <d v="2025-03-13T00:00:00"/>
    <s v="F"/>
    <x v="0"/>
    <x v="2"/>
    <x v="0"/>
    <x v="8"/>
    <x v="2"/>
    <x v="10"/>
    <x v="2"/>
  </r>
  <r>
    <x v="1887"/>
    <x v="5"/>
    <x v="21"/>
    <n v="36.4"/>
    <n v="509.59999999999997"/>
    <x v="68"/>
    <d v="2025-03-12T00:00:00"/>
    <s v="F"/>
    <x v="0"/>
    <x v="1"/>
    <x v="0"/>
    <x v="9"/>
    <x v="1"/>
    <x v="10"/>
    <x v="2"/>
  </r>
  <r>
    <x v="1888"/>
    <x v="16"/>
    <x v="9"/>
    <n v="67.599999999999994"/>
    <n v="338"/>
    <x v="69"/>
    <d v="2025-03-14T00:00:00"/>
    <s v="F"/>
    <x v="4"/>
    <x v="1"/>
    <x v="0"/>
    <x v="9"/>
    <x v="2"/>
    <x v="10"/>
    <x v="2"/>
  </r>
  <r>
    <x v="1889"/>
    <x v="15"/>
    <x v="0"/>
    <n v="46.3"/>
    <n v="46.3"/>
    <x v="69"/>
    <d v="2025-03-12T00:00:00"/>
    <s v="M"/>
    <x v="2"/>
    <x v="0"/>
    <x v="0"/>
    <x v="9"/>
    <x v="3"/>
    <x v="10"/>
    <x v="1"/>
  </r>
  <r>
    <x v="1890"/>
    <x v="1"/>
    <x v="2"/>
    <n v="124.2"/>
    <n v="372.6"/>
    <x v="69"/>
    <d v="2025-03-13T00:00:00"/>
    <s v="F"/>
    <x v="1"/>
    <x v="2"/>
    <x v="0"/>
    <x v="11"/>
    <x v="1"/>
    <x v="10"/>
    <x v="2"/>
  </r>
  <r>
    <x v="1891"/>
    <x v="10"/>
    <x v="1"/>
    <n v="37"/>
    <n v="74"/>
    <x v="69"/>
    <d v="2025-03-17T00:00:00"/>
    <s v="M"/>
    <x v="0"/>
    <x v="0"/>
    <x v="0"/>
    <x v="11"/>
    <x v="4"/>
    <x v="10"/>
    <x v="1"/>
  </r>
  <r>
    <x v="1892"/>
    <x v="5"/>
    <x v="0"/>
    <n v="41.8"/>
    <n v="41.8"/>
    <x v="69"/>
    <d v="2025-03-12T00:00:00"/>
    <s v="M"/>
    <x v="2"/>
    <x v="0"/>
    <x v="0"/>
    <x v="31"/>
    <x v="3"/>
    <x v="10"/>
    <x v="1"/>
  </r>
  <r>
    <x v="1893"/>
    <x v="9"/>
    <x v="1"/>
    <n v="57.2"/>
    <n v="114.4"/>
    <x v="69"/>
    <d v="2025-03-13T00:00:00"/>
    <s v="M"/>
    <x v="2"/>
    <x v="1"/>
    <x v="0"/>
    <x v="20"/>
    <x v="1"/>
    <x v="10"/>
    <x v="1"/>
  </r>
  <r>
    <x v="1894"/>
    <x v="6"/>
    <x v="1"/>
    <n v="47.1"/>
    <n v="94.2"/>
    <x v="69"/>
    <d v="2025-03-13T00:00:00"/>
    <s v="F"/>
    <x v="0"/>
    <x v="4"/>
    <x v="0"/>
    <x v="20"/>
    <x v="1"/>
    <x v="10"/>
    <x v="2"/>
  </r>
  <r>
    <x v="1895"/>
    <x v="5"/>
    <x v="2"/>
    <n v="86.4"/>
    <n v="259.20000000000005"/>
    <x v="69"/>
    <d v="2025-03-12T00:00:00"/>
    <s v="M"/>
    <x v="2"/>
    <x v="1"/>
    <x v="0"/>
    <x v="52"/>
    <x v="3"/>
    <x v="10"/>
    <x v="1"/>
  </r>
  <r>
    <x v="1896"/>
    <x v="6"/>
    <x v="9"/>
    <n v="105"/>
    <n v="525"/>
    <x v="69"/>
    <d v="2025-03-14T00:00:00"/>
    <s v="M"/>
    <x v="0"/>
    <x v="0"/>
    <x v="0"/>
    <x v="13"/>
    <x v="2"/>
    <x v="10"/>
    <x v="1"/>
  </r>
  <r>
    <x v="1897"/>
    <x v="18"/>
    <x v="0"/>
    <n v="33"/>
    <n v="33"/>
    <x v="69"/>
    <d v="2025-03-14T00:00:00"/>
    <s v="M"/>
    <x v="4"/>
    <x v="0"/>
    <x v="0"/>
    <x v="21"/>
    <x v="2"/>
    <x v="10"/>
    <x v="1"/>
  </r>
  <r>
    <x v="1898"/>
    <x v="6"/>
    <x v="9"/>
    <n v="106.6"/>
    <n v="533"/>
    <x v="69"/>
    <d v="2025-03-24T00:00:00"/>
    <s v="F"/>
    <x v="2"/>
    <x v="0"/>
    <x v="0"/>
    <x v="1"/>
    <x v="10"/>
    <x v="10"/>
    <x v="2"/>
  </r>
  <r>
    <x v="1899"/>
    <x v="10"/>
    <x v="46"/>
    <n v="26.8"/>
    <n v="857.6"/>
    <x v="69"/>
    <d v="2025-03-12T00:00:00"/>
    <s v="F"/>
    <x v="2"/>
    <x v="0"/>
    <x v="0"/>
    <x v="1"/>
    <x v="3"/>
    <x v="10"/>
    <x v="2"/>
  </r>
  <r>
    <x v="1900"/>
    <x v="17"/>
    <x v="9"/>
    <n v="25.8"/>
    <n v="129"/>
    <x v="69"/>
    <d v="2025-03-11T00:00:00"/>
    <s v="F"/>
    <x v="1"/>
    <x v="2"/>
    <x v="0"/>
    <x v="3"/>
    <x v="7"/>
    <x v="10"/>
    <x v="2"/>
  </r>
  <r>
    <x v="1901"/>
    <x v="2"/>
    <x v="2"/>
    <n v="217"/>
    <n v="651"/>
    <x v="69"/>
    <d v="2025-03-12T00:00:00"/>
    <s v="F"/>
    <x v="1"/>
    <x v="1"/>
    <x v="0"/>
    <x v="3"/>
    <x v="3"/>
    <x v="10"/>
    <x v="2"/>
  </r>
  <r>
    <x v="1902"/>
    <x v="2"/>
    <x v="1"/>
    <n v="97.3"/>
    <n v="194.6"/>
    <x v="69"/>
    <d v="2025-03-12T00:00:00"/>
    <s v="M"/>
    <x v="2"/>
    <x v="4"/>
    <x v="0"/>
    <x v="3"/>
    <x v="3"/>
    <x v="10"/>
    <x v="1"/>
  </r>
  <r>
    <x v="1903"/>
    <x v="1"/>
    <x v="0"/>
    <n v="49.8"/>
    <n v="49.8"/>
    <x v="69"/>
    <d v="2025-03-12T00:00:00"/>
    <s v="F"/>
    <x v="0"/>
    <x v="0"/>
    <x v="0"/>
    <x v="3"/>
    <x v="3"/>
    <x v="10"/>
    <x v="2"/>
  </r>
  <r>
    <x v="1904"/>
    <x v="12"/>
    <x v="9"/>
    <n v="32.6"/>
    <n v="163"/>
    <x v="69"/>
    <d v="2025-03-12T00:00:00"/>
    <s v="F"/>
    <x v="0"/>
    <x v="0"/>
    <x v="0"/>
    <x v="3"/>
    <x v="3"/>
    <x v="10"/>
    <x v="2"/>
  </r>
  <r>
    <x v="1905"/>
    <x v="9"/>
    <x v="1"/>
    <n v="40.1"/>
    <n v="80.2"/>
    <x v="69"/>
    <d v="2025-03-14T00:00:00"/>
    <s v="M"/>
    <x v="1"/>
    <x v="2"/>
    <x v="0"/>
    <x v="3"/>
    <x v="2"/>
    <x v="10"/>
    <x v="1"/>
  </r>
  <r>
    <x v="1906"/>
    <x v="10"/>
    <x v="1"/>
    <n v="49.4"/>
    <n v="98.8"/>
    <x v="69"/>
    <d v="2025-03-13T00:00:00"/>
    <s v="M"/>
    <x v="1"/>
    <x v="0"/>
    <x v="0"/>
    <x v="3"/>
    <x v="1"/>
    <x v="10"/>
    <x v="1"/>
  </r>
  <r>
    <x v="1907"/>
    <x v="2"/>
    <x v="0"/>
    <n v="67.3"/>
    <n v="67.3"/>
    <x v="69"/>
    <d v="2025-03-12T00:00:00"/>
    <s v="F"/>
    <x v="0"/>
    <x v="2"/>
    <x v="0"/>
    <x v="3"/>
    <x v="3"/>
    <x v="10"/>
    <x v="2"/>
  </r>
  <r>
    <x v="1908"/>
    <x v="18"/>
    <x v="12"/>
    <n v="44.5"/>
    <n v="178"/>
    <x v="69"/>
    <d v="2025-03-14T00:00:00"/>
    <s v=""/>
    <x v="1"/>
    <x v="0"/>
    <x v="0"/>
    <x v="3"/>
    <x v="2"/>
    <x v="10"/>
    <x v="0"/>
  </r>
  <r>
    <x v="1909"/>
    <x v="6"/>
    <x v="5"/>
    <n v="111.1"/>
    <n v="1222.0999999999999"/>
    <x v="69"/>
    <d v="2025-03-12T00:00:00"/>
    <s v="F"/>
    <x v="4"/>
    <x v="0"/>
    <x v="0"/>
    <x v="3"/>
    <x v="3"/>
    <x v="10"/>
    <x v="2"/>
  </r>
  <r>
    <x v="1910"/>
    <x v="8"/>
    <x v="2"/>
    <n v="19.7"/>
    <n v="59.099999999999994"/>
    <x v="69"/>
    <d v="2025-03-12T00:00:00"/>
    <s v="F"/>
    <x v="4"/>
    <x v="4"/>
    <x v="0"/>
    <x v="3"/>
    <x v="3"/>
    <x v="10"/>
    <x v="2"/>
  </r>
  <r>
    <x v="1911"/>
    <x v="1"/>
    <x v="0"/>
    <n v="40.299999999999997"/>
    <n v="40.299999999999997"/>
    <x v="69"/>
    <d v="2025-03-12T00:00:00"/>
    <s v="O"/>
    <x v="1"/>
    <x v="0"/>
    <x v="0"/>
    <x v="3"/>
    <x v="3"/>
    <x v="10"/>
    <x v="3"/>
  </r>
  <r>
    <x v="1912"/>
    <x v="6"/>
    <x v="1"/>
    <n v="108.8"/>
    <n v="217.6"/>
    <x v="69"/>
    <d v="2025-03-16T00:00:00"/>
    <s v="M"/>
    <x v="0"/>
    <x v="2"/>
    <x v="0"/>
    <x v="6"/>
    <x v="0"/>
    <x v="10"/>
    <x v="1"/>
  </r>
  <r>
    <x v="1913"/>
    <x v="8"/>
    <x v="2"/>
    <n v="48.2"/>
    <n v="144.60000000000002"/>
    <x v="69"/>
    <d v="2025-03-16T00:00:00"/>
    <s v="F"/>
    <x v="4"/>
    <x v="0"/>
    <x v="0"/>
    <x v="7"/>
    <x v="0"/>
    <x v="10"/>
    <x v="2"/>
  </r>
  <r>
    <x v="1914"/>
    <x v="2"/>
    <x v="2"/>
    <n v="104.7"/>
    <n v="314.10000000000002"/>
    <x v="69"/>
    <d v="2025-03-13T00:00:00"/>
    <s v="F"/>
    <x v="0"/>
    <x v="1"/>
    <x v="0"/>
    <x v="7"/>
    <x v="1"/>
    <x v="10"/>
    <x v="2"/>
  </r>
  <r>
    <x v="1915"/>
    <x v="1"/>
    <x v="1"/>
    <n v="80.599999999999994"/>
    <n v="161.19999999999999"/>
    <x v="69"/>
    <d v="2025-03-11T00:00:00"/>
    <s v="F"/>
    <x v="1"/>
    <x v="0"/>
    <x v="0"/>
    <x v="8"/>
    <x v="7"/>
    <x v="10"/>
    <x v="2"/>
  </r>
  <r>
    <x v="1916"/>
    <x v="6"/>
    <x v="0"/>
    <n v="65.5"/>
    <n v="65.5"/>
    <x v="69"/>
    <d v="2025-03-13T00:00:00"/>
    <s v="O"/>
    <x v="1"/>
    <x v="0"/>
    <x v="0"/>
    <x v="8"/>
    <x v="1"/>
    <x v="10"/>
    <x v="3"/>
  </r>
  <r>
    <x v="1917"/>
    <x v="9"/>
    <x v="2"/>
    <n v="61.4"/>
    <n v="184.2"/>
    <x v="69"/>
    <d v="2025-03-13T00:00:00"/>
    <s v="F"/>
    <x v="4"/>
    <x v="2"/>
    <x v="0"/>
    <x v="8"/>
    <x v="1"/>
    <x v="10"/>
    <x v="2"/>
  </r>
  <r>
    <x v="1918"/>
    <x v="0"/>
    <x v="0"/>
    <n v="12.5"/>
    <n v="12.5"/>
    <x v="70"/>
    <d v="2025-03-15T00:00:00"/>
    <s v="F"/>
    <x v="0"/>
    <x v="1"/>
    <x v="0"/>
    <x v="8"/>
    <x v="2"/>
    <x v="10"/>
    <x v="2"/>
  </r>
  <r>
    <x v="1919"/>
    <x v="4"/>
    <x v="12"/>
    <n v="35.1"/>
    <n v="140.4"/>
    <x v="70"/>
    <d v="2025-03-13T00:00:00"/>
    <s v="M"/>
    <x v="2"/>
    <x v="1"/>
    <x v="0"/>
    <x v="17"/>
    <x v="3"/>
    <x v="10"/>
    <x v="1"/>
  </r>
  <r>
    <x v="1920"/>
    <x v="5"/>
    <x v="1"/>
    <n v="55.7"/>
    <n v="111.4"/>
    <x v="70"/>
    <d v="2025-03-13T00:00:00"/>
    <s v="M"/>
    <x v="0"/>
    <x v="1"/>
    <x v="0"/>
    <x v="26"/>
    <x v="3"/>
    <x v="10"/>
    <x v="1"/>
  </r>
  <r>
    <x v="1921"/>
    <x v="7"/>
    <x v="1"/>
    <n v="57.7"/>
    <n v="115.4"/>
    <x v="70"/>
    <d v="2025-03-14T00:00:00"/>
    <s v="M"/>
    <x v="4"/>
    <x v="1"/>
    <x v="0"/>
    <x v="9"/>
    <x v="1"/>
    <x v="10"/>
    <x v="1"/>
  </r>
  <r>
    <x v="1922"/>
    <x v="2"/>
    <x v="13"/>
    <n v="85.7"/>
    <n v="514.20000000000005"/>
    <x v="70"/>
    <d v="2025-03-13T00:00:00"/>
    <s v="M"/>
    <x v="3"/>
    <x v="2"/>
    <x v="0"/>
    <x v="9"/>
    <x v="3"/>
    <x v="10"/>
    <x v="1"/>
  </r>
  <r>
    <x v="1923"/>
    <x v="2"/>
    <x v="2"/>
    <n v="86.9"/>
    <n v="260.70000000000005"/>
    <x v="70"/>
    <d v="2025-03-14T00:00:00"/>
    <s v="F"/>
    <x v="1"/>
    <x v="0"/>
    <x v="0"/>
    <x v="11"/>
    <x v="1"/>
    <x v="10"/>
    <x v="2"/>
  </r>
  <r>
    <x v="1924"/>
    <x v="18"/>
    <x v="1"/>
    <n v="46.4"/>
    <n v="92.8"/>
    <x v="70"/>
    <d v="2025-03-15T00:00:00"/>
    <s v="F"/>
    <x v="4"/>
    <x v="0"/>
    <x v="0"/>
    <x v="11"/>
    <x v="2"/>
    <x v="10"/>
    <x v="2"/>
  </r>
  <r>
    <x v="1925"/>
    <x v="5"/>
    <x v="2"/>
    <n v="25.4"/>
    <n v="76.199999999999989"/>
    <x v="70"/>
    <d v="2025-03-12T00:00:00"/>
    <s v="F"/>
    <x v="2"/>
    <x v="2"/>
    <x v="0"/>
    <x v="18"/>
    <x v="7"/>
    <x v="10"/>
    <x v="2"/>
  </r>
  <r>
    <x v="1926"/>
    <x v="10"/>
    <x v="2"/>
    <n v="47.8"/>
    <n v="143.39999999999998"/>
    <x v="70"/>
    <d v="2025-03-12T00:00:00"/>
    <s v=""/>
    <x v="2"/>
    <x v="2"/>
    <x v="0"/>
    <x v="19"/>
    <x v="7"/>
    <x v="10"/>
    <x v="0"/>
  </r>
  <r>
    <x v="1927"/>
    <x v="8"/>
    <x v="10"/>
    <n v="18.399999999999999"/>
    <n v="349.59999999999997"/>
    <x v="70"/>
    <d v="2025-03-14T00:00:00"/>
    <s v="O"/>
    <x v="2"/>
    <x v="0"/>
    <x v="0"/>
    <x v="20"/>
    <x v="1"/>
    <x v="10"/>
    <x v="3"/>
  </r>
  <r>
    <x v="1928"/>
    <x v="12"/>
    <x v="2"/>
    <n v="65.5"/>
    <n v="196.5"/>
    <x v="70"/>
    <d v="2025-03-20T00:00:00"/>
    <s v="F"/>
    <x v="0"/>
    <x v="0"/>
    <x v="0"/>
    <x v="21"/>
    <x v="9"/>
    <x v="10"/>
    <x v="2"/>
  </r>
  <r>
    <x v="1929"/>
    <x v="10"/>
    <x v="1"/>
    <n v="50.6"/>
    <n v="101.2"/>
    <x v="70"/>
    <d v="2025-03-15T00:00:00"/>
    <s v="M"/>
    <x v="2"/>
    <x v="4"/>
    <x v="0"/>
    <x v="21"/>
    <x v="2"/>
    <x v="10"/>
    <x v="1"/>
  </r>
  <r>
    <x v="1930"/>
    <x v="3"/>
    <x v="9"/>
    <n v="69"/>
    <n v="345"/>
    <x v="70"/>
    <d v="2025-03-16T00:00:00"/>
    <s v="M"/>
    <x v="3"/>
    <x v="0"/>
    <x v="0"/>
    <x v="21"/>
    <x v="5"/>
    <x v="10"/>
    <x v="1"/>
  </r>
  <r>
    <x v="1931"/>
    <x v="9"/>
    <x v="8"/>
    <n v="51.1"/>
    <n v="408.8"/>
    <x v="70"/>
    <d v="2025-03-14T00:00:00"/>
    <s v="F"/>
    <x v="0"/>
    <x v="0"/>
    <x v="0"/>
    <x v="1"/>
    <x v="1"/>
    <x v="10"/>
    <x v="2"/>
  </r>
  <r>
    <x v="1932"/>
    <x v="9"/>
    <x v="0"/>
    <n v="36.1"/>
    <n v="36.1"/>
    <x v="70"/>
    <d v="2025-03-13T00:00:00"/>
    <s v="F"/>
    <x v="0"/>
    <x v="2"/>
    <x v="0"/>
    <x v="34"/>
    <x v="3"/>
    <x v="10"/>
    <x v="2"/>
  </r>
  <r>
    <x v="1933"/>
    <x v="14"/>
    <x v="0"/>
    <n v="18.7"/>
    <n v="18.7"/>
    <x v="70"/>
    <d v="2025-03-13T00:00:00"/>
    <s v="M"/>
    <x v="0"/>
    <x v="0"/>
    <x v="0"/>
    <x v="3"/>
    <x v="3"/>
    <x v="10"/>
    <x v="1"/>
  </r>
  <r>
    <x v="1934"/>
    <x v="17"/>
    <x v="0"/>
    <n v="30.1"/>
    <n v="30.1"/>
    <x v="70"/>
    <d v="2025-03-15T00:00:00"/>
    <s v="F"/>
    <x v="3"/>
    <x v="1"/>
    <x v="0"/>
    <x v="3"/>
    <x v="2"/>
    <x v="10"/>
    <x v="2"/>
  </r>
  <r>
    <x v="1935"/>
    <x v="8"/>
    <x v="0"/>
    <n v="16.3"/>
    <n v="16.3"/>
    <x v="70"/>
    <d v="2025-03-13T00:00:00"/>
    <s v="M"/>
    <x v="3"/>
    <x v="0"/>
    <x v="0"/>
    <x v="3"/>
    <x v="3"/>
    <x v="10"/>
    <x v="1"/>
  </r>
  <r>
    <x v="1936"/>
    <x v="1"/>
    <x v="2"/>
    <n v="63.8"/>
    <n v="191.39999999999998"/>
    <x v="70"/>
    <d v="2025-03-17T00:00:00"/>
    <s v="F"/>
    <x v="2"/>
    <x v="1"/>
    <x v="0"/>
    <x v="3"/>
    <x v="0"/>
    <x v="10"/>
    <x v="2"/>
  </r>
  <r>
    <x v="1937"/>
    <x v="1"/>
    <x v="3"/>
    <n v="73.900000000000006"/>
    <n v="517.30000000000007"/>
    <x v="70"/>
    <d v="2025-03-12T00:00:00"/>
    <s v="F"/>
    <x v="0"/>
    <x v="1"/>
    <x v="0"/>
    <x v="3"/>
    <x v="7"/>
    <x v="10"/>
    <x v="2"/>
  </r>
  <r>
    <x v="1938"/>
    <x v="0"/>
    <x v="1"/>
    <n v="20.2"/>
    <n v="40.4"/>
    <x v="70"/>
    <d v="2025-03-13T00:00:00"/>
    <s v="M"/>
    <x v="0"/>
    <x v="1"/>
    <x v="0"/>
    <x v="3"/>
    <x v="3"/>
    <x v="10"/>
    <x v="1"/>
  </r>
  <r>
    <x v="1939"/>
    <x v="11"/>
    <x v="5"/>
    <n v="29.5"/>
    <n v="324.5"/>
    <x v="70"/>
    <d v="2025-03-13T00:00:00"/>
    <s v="M"/>
    <x v="0"/>
    <x v="0"/>
    <x v="0"/>
    <x v="3"/>
    <x v="3"/>
    <x v="10"/>
    <x v="1"/>
  </r>
  <r>
    <x v="1940"/>
    <x v="15"/>
    <x v="3"/>
    <n v="37.9"/>
    <n v="265.3"/>
    <x v="70"/>
    <d v="2025-03-13T00:00:00"/>
    <s v="M"/>
    <x v="1"/>
    <x v="0"/>
    <x v="0"/>
    <x v="3"/>
    <x v="3"/>
    <x v="10"/>
    <x v="1"/>
  </r>
  <r>
    <x v="1941"/>
    <x v="2"/>
    <x v="0"/>
    <n v="56.5"/>
    <n v="56.5"/>
    <x v="70"/>
    <d v="2025-03-13T00:00:00"/>
    <s v="F"/>
    <x v="2"/>
    <x v="1"/>
    <x v="0"/>
    <x v="3"/>
    <x v="3"/>
    <x v="10"/>
    <x v="2"/>
  </r>
  <r>
    <x v="1942"/>
    <x v="2"/>
    <x v="1"/>
    <n v="66.900000000000006"/>
    <n v="133.80000000000001"/>
    <x v="70"/>
    <d v="2025-03-18T00:00:00"/>
    <s v="M"/>
    <x v="1"/>
    <x v="4"/>
    <x v="0"/>
    <x v="25"/>
    <x v="4"/>
    <x v="10"/>
    <x v="1"/>
  </r>
  <r>
    <x v="1943"/>
    <x v="2"/>
    <x v="9"/>
    <n v="51.9"/>
    <n v="259.5"/>
    <x v="70"/>
    <d v="2025-03-15T00:00:00"/>
    <s v="M"/>
    <x v="1"/>
    <x v="0"/>
    <x v="0"/>
    <x v="7"/>
    <x v="2"/>
    <x v="10"/>
    <x v="1"/>
  </r>
  <r>
    <x v="1944"/>
    <x v="2"/>
    <x v="1"/>
    <n v="75.599999999999994"/>
    <n v="151.19999999999999"/>
    <x v="70"/>
    <d v="2025-03-15T00:00:00"/>
    <s v="M"/>
    <x v="1"/>
    <x v="0"/>
    <x v="0"/>
    <x v="8"/>
    <x v="2"/>
    <x v="10"/>
    <x v="1"/>
  </r>
  <r>
    <x v="1945"/>
    <x v="12"/>
    <x v="13"/>
    <n v="47.3"/>
    <n v="283.79999999999995"/>
    <x v="70"/>
    <d v="2025-03-23T00:00:00"/>
    <s v="M"/>
    <x v="0"/>
    <x v="0"/>
    <x v="0"/>
    <x v="8"/>
    <x v="11"/>
    <x v="10"/>
    <x v="1"/>
  </r>
  <r>
    <x v="1946"/>
    <x v="4"/>
    <x v="0"/>
    <n v="20.6"/>
    <n v="20.6"/>
    <x v="70"/>
    <d v="2025-03-13T00:00:00"/>
    <s v=""/>
    <x v="0"/>
    <x v="1"/>
    <x v="0"/>
    <x v="8"/>
    <x v="3"/>
    <x v="10"/>
    <x v="0"/>
  </r>
  <r>
    <x v="1947"/>
    <x v="6"/>
    <x v="2"/>
    <n v="49.7"/>
    <n v="149.10000000000002"/>
    <x v="70"/>
    <d v="2025-03-14T00:00:00"/>
    <s v="M"/>
    <x v="0"/>
    <x v="1"/>
    <x v="0"/>
    <x v="8"/>
    <x v="1"/>
    <x v="10"/>
    <x v="1"/>
  </r>
  <r>
    <x v="1948"/>
    <x v="3"/>
    <x v="0"/>
    <n v="37.9"/>
    <n v="37.9"/>
    <x v="70"/>
    <d v="2025-03-14T00:00:00"/>
    <s v="F"/>
    <x v="0"/>
    <x v="0"/>
    <x v="0"/>
    <x v="8"/>
    <x v="1"/>
    <x v="10"/>
    <x v="2"/>
  </r>
  <r>
    <x v="1949"/>
    <x v="13"/>
    <x v="20"/>
    <n v="32"/>
    <n v="480"/>
    <x v="70"/>
    <d v="2025-03-14T00:00:00"/>
    <s v="F"/>
    <x v="4"/>
    <x v="0"/>
    <x v="0"/>
    <x v="11"/>
    <x v="1"/>
    <x v="10"/>
    <x v="2"/>
  </r>
  <r>
    <x v="1950"/>
    <x v="10"/>
    <x v="16"/>
    <n v="38.5"/>
    <n v="693"/>
    <x v="71"/>
    <d v="2025-03-14T00:00:00"/>
    <s v="M"/>
    <x v="0"/>
    <x v="2"/>
    <x v="0"/>
    <x v="11"/>
    <x v="3"/>
    <x v="10"/>
    <x v="1"/>
  </r>
  <r>
    <x v="1951"/>
    <x v="0"/>
    <x v="12"/>
    <n v="11.7"/>
    <n v="46.8"/>
    <x v="71"/>
    <d v="2025-03-15T00:00:00"/>
    <s v="F"/>
    <x v="1"/>
    <x v="0"/>
    <x v="0"/>
    <x v="20"/>
    <x v="1"/>
    <x v="10"/>
    <x v="2"/>
  </r>
  <r>
    <x v="1952"/>
    <x v="3"/>
    <x v="13"/>
    <n v="83.8"/>
    <n v="502.79999999999995"/>
    <x v="71"/>
    <d v="2025-03-14T00:00:00"/>
    <s v="M"/>
    <x v="0"/>
    <x v="0"/>
    <x v="0"/>
    <x v="21"/>
    <x v="3"/>
    <x v="10"/>
    <x v="1"/>
  </r>
  <r>
    <x v="1953"/>
    <x v="0"/>
    <x v="3"/>
    <n v="14"/>
    <n v="98"/>
    <x v="71"/>
    <d v="2025-03-16T00:00:00"/>
    <s v="M"/>
    <x v="0"/>
    <x v="1"/>
    <x v="0"/>
    <x v="22"/>
    <x v="2"/>
    <x v="10"/>
    <x v="1"/>
  </r>
  <r>
    <x v="1954"/>
    <x v="16"/>
    <x v="12"/>
    <n v="77.3"/>
    <n v="309.2"/>
    <x v="71"/>
    <d v="2025-03-15T00:00:00"/>
    <s v="F"/>
    <x v="4"/>
    <x v="2"/>
    <x v="0"/>
    <x v="3"/>
    <x v="1"/>
    <x v="10"/>
    <x v="2"/>
  </r>
  <r>
    <x v="1955"/>
    <x v="2"/>
    <x v="1"/>
    <n v="76.900000000000006"/>
    <n v="153.80000000000001"/>
    <x v="71"/>
    <d v="2025-03-17T00:00:00"/>
    <s v="F"/>
    <x v="0"/>
    <x v="1"/>
    <x v="0"/>
    <x v="3"/>
    <x v="5"/>
    <x v="10"/>
    <x v="2"/>
  </r>
  <r>
    <x v="1956"/>
    <x v="1"/>
    <x v="0"/>
    <n v="48"/>
    <n v="48"/>
    <x v="71"/>
    <d v="2025-03-15T00:00:00"/>
    <s v="F"/>
    <x v="1"/>
    <x v="2"/>
    <x v="0"/>
    <x v="3"/>
    <x v="1"/>
    <x v="10"/>
    <x v="2"/>
  </r>
  <r>
    <x v="1957"/>
    <x v="2"/>
    <x v="0"/>
    <n v="94.5"/>
    <n v="94.5"/>
    <x v="71"/>
    <d v="2025-03-16T00:00:00"/>
    <s v="M"/>
    <x v="1"/>
    <x v="1"/>
    <x v="0"/>
    <x v="3"/>
    <x v="2"/>
    <x v="10"/>
    <x v="1"/>
  </r>
  <r>
    <x v="1958"/>
    <x v="10"/>
    <x v="2"/>
    <n v="58.4"/>
    <n v="175.2"/>
    <x v="71"/>
    <d v="2025-03-15T00:00:00"/>
    <s v="F"/>
    <x v="1"/>
    <x v="2"/>
    <x v="0"/>
    <x v="3"/>
    <x v="1"/>
    <x v="10"/>
    <x v="2"/>
  </r>
  <r>
    <x v="1959"/>
    <x v="7"/>
    <x v="15"/>
    <n v="42.2"/>
    <n v="548.6"/>
    <x v="71"/>
    <d v="2025-03-13T00:00:00"/>
    <s v="M"/>
    <x v="0"/>
    <x v="0"/>
    <x v="0"/>
    <x v="25"/>
    <x v="7"/>
    <x v="10"/>
    <x v="1"/>
  </r>
  <r>
    <x v="1960"/>
    <x v="6"/>
    <x v="1"/>
    <n v="152.19999999999999"/>
    <n v="304.39999999999998"/>
    <x v="71"/>
    <d v="2025-03-14T00:00:00"/>
    <s v="M"/>
    <x v="4"/>
    <x v="1"/>
    <x v="0"/>
    <x v="25"/>
    <x v="3"/>
    <x v="10"/>
    <x v="1"/>
  </r>
  <r>
    <x v="1961"/>
    <x v="6"/>
    <x v="25"/>
    <n v="72"/>
    <n v="1728"/>
    <x v="71"/>
    <d v="2025-03-14T00:00:00"/>
    <s v="M"/>
    <x v="0"/>
    <x v="1"/>
    <x v="0"/>
    <x v="6"/>
    <x v="3"/>
    <x v="10"/>
    <x v="1"/>
  </r>
  <r>
    <x v="1962"/>
    <x v="1"/>
    <x v="44"/>
    <n v="70.900000000000006"/>
    <n v="1630.7"/>
    <x v="71"/>
    <d v="2025-03-14T00:00:00"/>
    <s v="F"/>
    <x v="2"/>
    <x v="0"/>
    <x v="0"/>
    <x v="8"/>
    <x v="3"/>
    <x v="10"/>
    <x v="2"/>
  </r>
  <r>
    <x v="1963"/>
    <x v="2"/>
    <x v="1"/>
    <n v="53.7"/>
    <n v="107.4"/>
    <x v="71"/>
    <d v="2025-03-14T00:00:00"/>
    <s v="M"/>
    <x v="2"/>
    <x v="2"/>
    <x v="0"/>
    <x v="8"/>
    <x v="3"/>
    <x v="10"/>
    <x v="1"/>
  </r>
  <r>
    <x v="1964"/>
    <x v="9"/>
    <x v="12"/>
    <n v="42.9"/>
    <n v="171.6"/>
    <x v="71"/>
    <d v="2025-03-14T00:00:00"/>
    <s v="F"/>
    <x v="2"/>
    <x v="4"/>
    <x v="0"/>
    <x v="9"/>
    <x v="3"/>
    <x v="10"/>
    <x v="2"/>
  </r>
  <r>
    <x v="1965"/>
    <x v="2"/>
    <x v="3"/>
    <n v="107.5"/>
    <n v="752.5"/>
    <x v="71"/>
    <d v="2025-03-14T00:00:00"/>
    <s v="M"/>
    <x v="1"/>
    <x v="0"/>
    <x v="0"/>
    <x v="11"/>
    <x v="3"/>
    <x v="10"/>
    <x v="1"/>
  </r>
  <r>
    <x v="1966"/>
    <x v="17"/>
    <x v="27"/>
    <n v="21.5"/>
    <n v="344"/>
    <x v="71"/>
    <d v="2025-03-14T00:00:00"/>
    <s v="M"/>
    <x v="1"/>
    <x v="1"/>
    <x v="0"/>
    <x v="32"/>
    <x v="3"/>
    <x v="10"/>
    <x v="1"/>
  </r>
  <r>
    <x v="1967"/>
    <x v="3"/>
    <x v="9"/>
    <n v="85.3"/>
    <n v="426.5"/>
    <x v="71"/>
    <d v="2025-03-15T00:00:00"/>
    <s v="F"/>
    <x v="3"/>
    <x v="0"/>
    <x v="0"/>
    <x v="18"/>
    <x v="1"/>
    <x v="10"/>
    <x v="2"/>
  </r>
  <r>
    <x v="1968"/>
    <x v="7"/>
    <x v="9"/>
    <n v="80.8"/>
    <n v="404"/>
    <x v="71"/>
    <d v="2025-03-21T00:00:00"/>
    <s v="O"/>
    <x v="1"/>
    <x v="1"/>
    <x v="0"/>
    <x v="19"/>
    <x v="9"/>
    <x v="10"/>
    <x v="3"/>
  </r>
  <r>
    <x v="1969"/>
    <x v="2"/>
    <x v="2"/>
    <n v="123.1"/>
    <n v="369.29999999999995"/>
    <x v="71"/>
    <d v="2025-03-15T00:00:00"/>
    <s v=""/>
    <x v="2"/>
    <x v="0"/>
    <x v="0"/>
    <x v="21"/>
    <x v="1"/>
    <x v="10"/>
    <x v="0"/>
  </r>
  <r>
    <x v="1970"/>
    <x v="8"/>
    <x v="1"/>
    <n v="36.9"/>
    <n v="73.8"/>
    <x v="71"/>
    <d v="2025-03-15T00:00:00"/>
    <s v="F"/>
    <x v="2"/>
    <x v="4"/>
    <x v="0"/>
    <x v="51"/>
    <x v="1"/>
    <x v="10"/>
    <x v="2"/>
  </r>
  <r>
    <x v="1971"/>
    <x v="11"/>
    <x v="9"/>
    <n v="40"/>
    <n v="200"/>
    <x v="71"/>
    <d v="2025-03-14T00:00:00"/>
    <s v="M"/>
    <x v="0"/>
    <x v="0"/>
    <x v="0"/>
    <x v="1"/>
    <x v="3"/>
    <x v="10"/>
    <x v="1"/>
  </r>
  <r>
    <x v="1972"/>
    <x v="6"/>
    <x v="2"/>
    <n v="55.5"/>
    <n v="166.5"/>
    <x v="71"/>
    <d v="2025-03-14T00:00:00"/>
    <s v="M"/>
    <x v="4"/>
    <x v="2"/>
    <x v="0"/>
    <x v="1"/>
    <x v="3"/>
    <x v="10"/>
    <x v="1"/>
  </r>
  <r>
    <x v="1973"/>
    <x v="0"/>
    <x v="12"/>
    <n v="20.5"/>
    <n v="82"/>
    <x v="71"/>
    <d v="2025-03-17T00:00:00"/>
    <s v="F"/>
    <x v="4"/>
    <x v="0"/>
    <x v="0"/>
    <x v="1"/>
    <x v="5"/>
    <x v="10"/>
    <x v="2"/>
  </r>
  <r>
    <x v="1974"/>
    <x v="18"/>
    <x v="12"/>
    <n v="50.1"/>
    <n v="200.4"/>
    <x v="71"/>
    <d v="2025-03-14T00:00:00"/>
    <s v="F"/>
    <x v="4"/>
    <x v="0"/>
    <x v="0"/>
    <x v="1"/>
    <x v="3"/>
    <x v="10"/>
    <x v="2"/>
  </r>
  <r>
    <x v="1975"/>
    <x v="9"/>
    <x v="0"/>
    <n v="35.9"/>
    <n v="35.9"/>
    <x v="71"/>
    <d v="2025-03-15T00:00:00"/>
    <s v="M"/>
    <x v="1"/>
    <x v="2"/>
    <x v="0"/>
    <x v="1"/>
    <x v="1"/>
    <x v="10"/>
    <x v="1"/>
  </r>
  <r>
    <x v="1976"/>
    <x v="13"/>
    <x v="12"/>
    <n v="29.4"/>
    <n v="117.6"/>
    <x v="72"/>
    <d v="2025-03-15T00:00:00"/>
    <s v="M"/>
    <x v="2"/>
    <x v="2"/>
    <x v="0"/>
    <x v="33"/>
    <x v="3"/>
    <x v="10"/>
    <x v="1"/>
  </r>
  <r>
    <x v="1977"/>
    <x v="8"/>
    <x v="9"/>
    <n v="29.1"/>
    <n v="145.5"/>
    <x v="72"/>
    <d v="2025-03-22T00:00:00"/>
    <s v="O"/>
    <x v="2"/>
    <x v="1"/>
    <x v="0"/>
    <x v="33"/>
    <x v="9"/>
    <x v="10"/>
    <x v="3"/>
  </r>
  <r>
    <x v="1978"/>
    <x v="8"/>
    <x v="2"/>
    <n v="33.5"/>
    <n v="100.5"/>
    <x v="72"/>
    <d v="2025-03-26T00:00:00"/>
    <s v="M"/>
    <x v="0"/>
    <x v="2"/>
    <x v="0"/>
    <x v="22"/>
    <x v="13"/>
    <x v="10"/>
    <x v="1"/>
  </r>
  <r>
    <x v="1979"/>
    <x v="4"/>
    <x v="7"/>
    <n v="36"/>
    <n v="360"/>
    <x v="72"/>
    <d v="2025-03-14T00:00:00"/>
    <s v="M"/>
    <x v="3"/>
    <x v="2"/>
    <x v="0"/>
    <x v="3"/>
    <x v="7"/>
    <x v="10"/>
    <x v="1"/>
  </r>
  <r>
    <x v="1980"/>
    <x v="16"/>
    <x v="2"/>
    <n v="57.3"/>
    <n v="171.89999999999998"/>
    <x v="72"/>
    <d v="2025-03-18T00:00:00"/>
    <s v="F"/>
    <x v="0"/>
    <x v="2"/>
    <x v="0"/>
    <x v="3"/>
    <x v="5"/>
    <x v="10"/>
    <x v="2"/>
  </r>
  <r>
    <x v="1981"/>
    <x v="1"/>
    <x v="0"/>
    <n v="81.400000000000006"/>
    <n v="81.400000000000006"/>
    <x v="72"/>
    <d v="2025-03-15T00:00:00"/>
    <s v="F"/>
    <x v="2"/>
    <x v="2"/>
    <x v="0"/>
    <x v="3"/>
    <x v="3"/>
    <x v="10"/>
    <x v="2"/>
  </r>
  <r>
    <x v="1982"/>
    <x v="10"/>
    <x v="1"/>
    <n v="35.299999999999997"/>
    <n v="70.599999999999994"/>
    <x v="72"/>
    <d v="2025-03-18T00:00:00"/>
    <s v="M"/>
    <x v="0"/>
    <x v="2"/>
    <x v="0"/>
    <x v="3"/>
    <x v="5"/>
    <x v="10"/>
    <x v="1"/>
  </r>
  <r>
    <x v="1983"/>
    <x v="3"/>
    <x v="0"/>
    <n v="36.1"/>
    <n v="36.1"/>
    <x v="72"/>
    <d v="2025-03-15T00:00:00"/>
    <s v="F"/>
    <x v="4"/>
    <x v="0"/>
    <x v="0"/>
    <x v="3"/>
    <x v="3"/>
    <x v="10"/>
    <x v="2"/>
  </r>
  <r>
    <x v="1984"/>
    <x v="1"/>
    <x v="1"/>
    <n v="36.700000000000003"/>
    <n v="73.400000000000006"/>
    <x v="72"/>
    <d v="2025-03-16T00:00:00"/>
    <s v="F"/>
    <x v="0"/>
    <x v="2"/>
    <x v="0"/>
    <x v="3"/>
    <x v="1"/>
    <x v="10"/>
    <x v="2"/>
  </r>
  <r>
    <x v="1985"/>
    <x v="10"/>
    <x v="0"/>
    <n v="20.9"/>
    <n v="20.9"/>
    <x v="72"/>
    <d v="2025-03-16T00:00:00"/>
    <s v="F"/>
    <x v="0"/>
    <x v="4"/>
    <x v="0"/>
    <x v="3"/>
    <x v="1"/>
    <x v="10"/>
    <x v="2"/>
  </r>
  <r>
    <x v="1986"/>
    <x v="12"/>
    <x v="2"/>
    <n v="58.8"/>
    <n v="176.39999999999998"/>
    <x v="72"/>
    <d v="2025-03-18T00:00:00"/>
    <s v="M"/>
    <x v="0"/>
    <x v="2"/>
    <x v="0"/>
    <x v="25"/>
    <x v="5"/>
    <x v="10"/>
    <x v="1"/>
  </r>
  <r>
    <x v="1987"/>
    <x v="2"/>
    <x v="2"/>
    <n v="97.6"/>
    <n v="292.79999999999995"/>
    <x v="73"/>
    <d v="2025-03-17T00:00:00"/>
    <s v=""/>
    <x v="0"/>
    <x v="0"/>
    <x v="0"/>
    <x v="6"/>
    <x v="1"/>
    <x v="10"/>
    <x v="0"/>
  </r>
  <r>
    <x v="1988"/>
    <x v="1"/>
    <x v="1"/>
    <n v="58.7"/>
    <n v="117.4"/>
    <x v="73"/>
    <d v="2025-03-18T00:00:00"/>
    <s v="F"/>
    <x v="0"/>
    <x v="1"/>
    <x v="0"/>
    <x v="6"/>
    <x v="2"/>
    <x v="10"/>
    <x v="2"/>
  </r>
  <r>
    <x v="1989"/>
    <x v="6"/>
    <x v="9"/>
    <n v="71.900000000000006"/>
    <n v="359.5"/>
    <x v="73"/>
    <d v="2025-03-16T00:00:00"/>
    <s v=""/>
    <x v="0"/>
    <x v="1"/>
    <x v="0"/>
    <x v="6"/>
    <x v="3"/>
    <x v="10"/>
    <x v="0"/>
  </r>
  <r>
    <x v="1990"/>
    <x v="1"/>
    <x v="1"/>
    <n v="62.4"/>
    <n v="124.8"/>
    <x v="73"/>
    <d v="2025-03-17T00:00:00"/>
    <s v=""/>
    <x v="0"/>
    <x v="1"/>
    <x v="0"/>
    <x v="8"/>
    <x v="1"/>
    <x v="10"/>
    <x v="0"/>
  </r>
  <r>
    <x v="1991"/>
    <x v="6"/>
    <x v="27"/>
    <n v="53.8"/>
    <n v="860.8"/>
    <x v="73"/>
    <d v="2025-03-16T00:00:00"/>
    <s v="F"/>
    <x v="1"/>
    <x v="0"/>
    <x v="0"/>
    <x v="8"/>
    <x v="3"/>
    <x v="10"/>
    <x v="2"/>
  </r>
  <r>
    <x v="1992"/>
    <x v="9"/>
    <x v="0"/>
    <n v="43.8"/>
    <n v="43.8"/>
    <x v="73"/>
    <d v="2025-03-22T00:00:00"/>
    <s v="F"/>
    <x v="0"/>
    <x v="2"/>
    <x v="0"/>
    <x v="8"/>
    <x v="6"/>
    <x v="10"/>
    <x v="2"/>
  </r>
  <r>
    <x v="1993"/>
    <x v="5"/>
    <x v="2"/>
    <n v="53.6"/>
    <n v="160.80000000000001"/>
    <x v="73"/>
    <d v="2025-03-16T00:00:00"/>
    <s v="M"/>
    <x v="3"/>
    <x v="0"/>
    <x v="0"/>
    <x v="8"/>
    <x v="3"/>
    <x v="10"/>
    <x v="1"/>
  </r>
  <r>
    <x v="1994"/>
    <x v="12"/>
    <x v="1"/>
    <n v="84.3"/>
    <n v="168.6"/>
    <x v="73"/>
    <d v="2025-03-18T00:00:00"/>
    <s v="M"/>
    <x v="4"/>
    <x v="1"/>
    <x v="0"/>
    <x v="8"/>
    <x v="2"/>
    <x v="10"/>
    <x v="1"/>
  </r>
  <r>
    <x v="1995"/>
    <x v="6"/>
    <x v="11"/>
    <n v="117.9"/>
    <n v="1061.1000000000001"/>
    <x v="73"/>
    <d v="2025-03-16T00:00:00"/>
    <s v="F"/>
    <x v="1"/>
    <x v="2"/>
    <x v="0"/>
    <x v="8"/>
    <x v="3"/>
    <x v="10"/>
    <x v="2"/>
  </r>
  <r>
    <x v="1996"/>
    <x v="4"/>
    <x v="8"/>
    <n v="30"/>
    <n v="240"/>
    <x v="73"/>
    <d v="2025-03-16T00:00:00"/>
    <s v="F"/>
    <x v="1"/>
    <x v="0"/>
    <x v="0"/>
    <x v="26"/>
    <x v="3"/>
    <x v="10"/>
    <x v="2"/>
  </r>
  <r>
    <x v="1997"/>
    <x v="14"/>
    <x v="2"/>
    <n v="37.299999999999997"/>
    <n v="111.89999999999999"/>
    <x v="73"/>
    <d v="2025-03-16T00:00:00"/>
    <s v="M"/>
    <x v="2"/>
    <x v="0"/>
    <x v="0"/>
    <x v="9"/>
    <x v="3"/>
    <x v="10"/>
    <x v="1"/>
  </r>
  <r>
    <x v="1998"/>
    <x v="4"/>
    <x v="11"/>
    <n v="25.1"/>
    <n v="225.9"/>
    <x v="73"/>
    <d v="2025-03-17T00:00:00"/>
    <s v="M"/>
    <x v="1"/>
    <x v="2"/>
    <x v="0"/>
    <x v="11"/>
    <x v="1"/>
    <x v="10"/>
    <x v="1"/>
  </r>
  <r>
    <x v="1999"/>
    <x v="8"/>
    <x v="5"/>
    <n v="36"/>
    <n v="396"/>
    <x v="73"/>
    <d v="2025-03-25T00:00:00"/>
    <s v="M"/>
    <x v="1"/>
    <x v="0"/>
    <x v="0"/>
    <x v="18"/>
    <x v="14"/>
    <x v="10"/>
    <x v="1"/>
  </r>
  <r>
    <x v="2000"/>
    <x v="16"/>
    <x v="2"/>
    <n v="48.5"/>
    <n v="145.5"/>
    <x v="73"/>
    <d v="2025-03-19T00:00:00"/>
    <s v="F"/>
    <x v="1"/>
    <x v="0"/>
    <x v="0"/>
    <x v="19"/>
    <x v="5"/>
    <x v="10"/>
    <x v="2"/>
  </r>
  <r>
    <x v="2001"/>
    <x v="17"/>
    <x v="13"/>
    <n v="21.1"/>
    <n v="126.60000000000001"/>
    <x v="73"/>
    <d v="2025-03-16T00:00:00"/>
    <s v="M"/>
    <x v="1"/>
    <x v="2"/>
    <x v="0"/>
    <x v="21"/>
    <x v="3"/>
    <x v="10"/>
    <x v="1"/>
  </r>
  <r>
    <x v="2002"/>
    <x v="15"/>
    <x v="21"/>
    <n v="43.2"/>
    <n v="604.80000000000007"/>
    <x v="73"/>
    <d v="2025-03-16T00:00:00"/>
    <s v="O"/>
    <x v="0"/>
    <x v="1"/>
    <x v="0"/>
    <x v="21"/>
    <x v="3"/>
    <x v="10"/>
    <x v="3"/>
  </r>
  <r>
    <x v="2003"/>
    <x v="9"/>
    <x v="1"/>
    <n v="21.1"/>
    <n v="42.2"/>
    <x v="73"/>
    <d v="2025-03-16T00:00:00"/>
    <s v=""/>
    <x v="3"/>
    <x v="1"/>
    <x v="0"/>
    <x v="21"/>
    <x v="3"/>
    <x v="10"/>
    <x v="0"/>
  </r>
  <r>
    <x v="2004"/>
    <x v="6"/>
    <x v="12"/>
    <n v="41.3"/>
    <n v="165.2"/>
    <x v="73"/>
    <d v="2025-03-17T00:00:00"/>
    <s v="F"/>
    <x v="3"/>
    <x v="2"/>
    <x v="0"/>
    <x v="1"/>
    <x v="1"/>
    <x v="10"/>
    <x v="2"/>
  </r>
  <r>
    <x v="2005"/>
    <x v="8"/>
    <x v="1"/>
    <n v="15.3"/>
    <n v="30.6"/>
    <x v="73"/>
    <d v="2025-03-18T00:00:00"/>
    <s v=""/>
    <x v="2"/>
    <x v="2"/>
    <x v="0"/>
    <x v="1"/>
    <x v="2"/>
    <x v="10"/>
    <x v="0"/>
  </r>
  <r>
    <x v="2006"/>
    <x v="1"/>
    <x v="0"/>
    <n v="54.6"/>
    <n v="54.6"/>
    <x v="73"/>
    <d v="2025-03-17T00:00:00"/>
    <s v="M"/>
    <x v="1"/>
    <x v="1"/>
    <x v="0"/>
    <x v="2"/>
    <x v="1"/>
    <x v="10"/>
    <x v="1"/>
  </r>
  <r>
    <x v="2007"/>
    <x v="8"/>
    <x v="0"/>
    <n v="15.9"/>
    <n v="15.9"/>
    <x v="73"/>
    <d v="2025-03-16T00:00:00"/>
    <s v="M"/>
    <x v="0"/>
    <x v="1"/>
    <x v="0"/>
    <x v="22"/>
    <x v="3"/>
    <x v="10"/>
    <x v="1"/>
  </r>
  <r>
    <x v="2008"/>
    <x v="9"/>
    <x v="0"/>
    <n v="50.2"/>
    <n v="50.2"/>
    <x v="73"/>
    <d v="2025-03-17T00:00:00"/>
    <s v="F"/>
    <x v="3"/>
    <x v="2"/>
    <x v="0"/>
    <x v="34"/>
    <x v="1"/>
    <x v="10"/>
    <x v="2"/>
  </r>
  <r>
    <x v="2009"/>
    <x v="11"/>
    <x v="12"/>
    <n v="85.1"/>
    <n v="340.4"/>
    <x v="73"/>
    <d v="2025-03-16T00:00:00"/>
    <s v="F"/>
    <x v="3"/>
    <x v="4"/>
    <x v="0"/>
    <x v="34"/>
    <x v="3"/>
    <x v="10"/>
    <x v="2"/>
  </r>
  <r>
    <x v="2010"/>
    <x v="11"/>
    <x v="1"/>
    <n v="41.4"/>
    <n v="82.8"/>
    <x v="73"/>
    <d v="2025-03-16T00:00:00"/>
    <s v="F"/>
    <x v="0"/>
    <x v="2"/>
    <x v="0"/>
    <x v="3"/>
    <x v="3"/>
    <x v="10"/>
    <x v="2"/>
  </r>
  <r>
    <x v="2011"/>
    <x v="4"/>
    <x v="3"/>
    <n v="32.700000000000003"/>
    <n v="228.90000000000003"/>
    <x v="73"/>
    <d v="2025-03-16T00:00:00"/>
    <s v="F"/>
    <x v="2"/>
    <x v="1"/>
    <x v="0"/>
    <x v="3"/>
    <x v="3"/>
    <x v="10"/>
    <x v="2"/>
  </r>
  <r>
    <x v="2012"/>
    <x v="4"/>
    <x v="1"/>
    <n v="41.6"/>
    <n v="83.2"/>
    <x v="73"/>
    <d v="2025-03-17T00:00:00"/>
    <s v="M"/>
    <x v="4"/>
    <x v="1"/>
    <x v="0"/>
    <x v="3"/>
    <x v="1"/>
    <x v="10"/>
    <x v="1"/>
  </r>
  <r>
    <x v="2013"/>
    <x v="5"/>
    <x v="12"/>
    <n v="64.8"/>
    <n v="259.2"/>
    <x v="73"/>
    <d v="2025-03-16T00:00:00"/>
    <s v=""/>
    <x v="2"/>
    <x v="0"/>
    <x v="0"/>
    <x v="3"/>
    <x v="3"/>
    <x v="10"/>
    <x v="0"/>
  </r>
  <r>
    <x v="2014"/>
    <x v="15"/>
    <x v="1"/>
    <n v="33.6"/>
    <n v="67.2"/>
    <x v="73"/>
    <d v="2025-03-16T00:00:00"/>
    <s v="M"/>
    <x v="0"/>
    <x v="2"/>
    <x v="0"/>
    <x v="3"/>
    <x v="3"/>
    <x v="10"/>
    <x v="1"/>
  </r>
  <r>
    <x v="2015"/>
    <x v="6"/>
    <x v="2"/>
    <n v="100.7"/>
    <n v="302.10000000000002"/>
    <x v="73"/>
    <d v="2025-03-16T00:00:00"/>
    <s v=""/>
    <x v="1"/>
    <x v="0"/>
    <x v="0"/>
    <x v="3"/>
    <x v="3"/>
    <x v="10"/>
    <x v="0"/>
  </r>
  <r>
    <x v="2016"/>
    <x v="4"/>
    <x v="1"/>
    <n v="49.3"/>
    <n v="98.6"/>
    <x v="74"/>
    <d v="2025-03-18T00:00:00"/>
    <s v="F"/>
    <x v="4"/>
    <x v="2"/>
    <x v="0"/>
    <x v="3"/>
    <x v="1"/>
    <x v="11"/>
    <x v="2"/>
  </r>
  <r>
    <x v="2017"/>
    <x v="2"/>
    <x v="13"/>
    <n v="97"/>
    <n v="582"/>
    <x v="74"/>
    <d v="2025-03-19T00:00:00"/>
    <s v="M"/>
    <x v="2"/>
    <x v="2"/>
    <x v="0"/>
    <x v="3"/>
    <x v="2"/>
    <x v="11"/>
    <x v="1"/>
  </r>
  <r>
    <x v="2018"/>
    <x v="0"/>
    <x v="13"/>
    <n v="25.2"/>
    <n v="151.19999999999999"/>
    <x v="74"/>
    <d v="2025-03-19T00:00:00"/>
    <s v="F"/>
    <x v="4"/>
    <x v="2"/>
    <x v="0"/>
    <x v="3"/>
    <x v="2"/>
    <x v="11"/>
    <x v="2"/>
  </r>
  <r>
    <x v="2019"/>
    <x v="0"/>
    <x v="5"/>
    <n v="12.2"/>
    <n v="134.19999999999999"/>
    <x v="74"/>
    <d v="2025-03-17T00:00:00"/>
    <s v=""/>
    <x v="0"/>
    <x v="1"/>
    <x v="0"/>
    <x v="3"/>
    <x v="3"/>
    <x v="11"/>
    <x v="0"/>
  </r>
  <r>
    <x v="2020"/>
    <x v="8"/>
    <x v="3"/>
    <n v="38.799999999999997"/>
    <n v="271.59999999999997"/>
    <x v="74"/>
    <d v="2025-03-18T00:00:00"/>
    <s v="F"/>
    <x v="1"/>
    <x v="1"/>
    <x v="0"/>
    <x v="23"/>
    <x v="1"/>
    <x v="11"/>
    <x v="2"/>
  </r>
  <r>
    <x v="2021"/>
    <x v="2"/>
    <x v="12"/>
    <n v="53.2"/>
    <n v="212.8"/>
    <x v="74"/>
    <d v="2025-03-17T00:00:00"/>
    <s v="M"/>
    <x v="0"/>
    <x v="2"/>
    <x v="0"/>
    <x v="8"/>
    <x v="3"/>
    <x v="11"/>
    <x v="1"/>
  </r>
  <r>
    <x v="2022"/>
    <x v="6"/>
    <x v="3"/>
    <n v="151"/>
    <n v="1057"/>
    <x v="74"/>
    <d v="2025-03-17T00:00:00"/>
    <s v="O"/>
    <x v="1"/>
    <x v="1"/>
    <x v="0"/>
    <x v="8"/>
    <x v="3"/>
    <x v="11"/>
    <x v="3"/>
  </r>
  <r>
    <x v="2023"/>
    <x v="1"/>
    <x v="1"/>
    <n v="37.1"/>
    <n v="74.2"/>
    <x v="74"/>
    <d v="2025-03-17T00:00:00"/>
    <s v="F"/>
    <x v="4"/>
    <x v="0"/>
    <x v="0"/>
    <x v="8"/>
    <x v="3"/>
    <x v="11"/>
    <x v="2"/>
  </r>
  <r>
    <x v="2024"/>
    <x v="5"/>
    <x v="1"/>
    <n v="38.9"/>
    <n v="77.8"/>
    <x v="74"/>
    <d v="2025-03-17T00:00:00"/>
    <s v="M"/>
    <x v="4"/>
    <x v="0"/>
    <x v="0"/>
    <x v="8"/>
    <x v="3"/>
    <x v="11"/>
    <x v="1"/>
  </r>
  <r>
    <x v="2025"/>
    <x v="10"/>
    <x v="1"/>
    <n v="35.200000000000003"/>
    <n v="70.400000000000006"/>
    <x v="74"/>
    <d v="2025-03-17T00:00:00"/>
    <s v="M"/>
    <x v="0"/>
    <x v="2"/>
    <x v="0"/>
    <x v="17"/>
    <x v="3"/>
    <x v="11"/>
    <x v="1"/>
  </r>
  <r>
    <x v="2026"/>
    <x v="0"/>
    <x v="1"/>
    <n v="22.3"/>
    <n v="44.6"/>
    <x v="74"/>
    <d v="2025-03-18T00:00:00"/>
    <s v="F"/>
    <x v="1"/>
    <x v="0"/>
    <x v="0"/>
    <x v="9"/>
    <x v="1"/>
    <x v="11"/>
    <x v="2"/>
  </r>
  <r>
    <x v="2027"/>
    <x v="9"/>
    <x v="0"/>
    <n v="43.3"/>
    <n v="43.3"/>
    <x v="74"/>
    <d v="2025-03-19T00:00:00"/>
    <s v="F"/>
    <x v="0"/>
    <x v="2"/>
    <x v="0"/>
    <x v="11"/>
    <x v="2"/>
    <x v="11"/>
    <x v="2"/>
  </r>
  <r>
    <x v="2028"/>
    <x v="6"/>
    <x v="13"/>
    <n v="75.900000000000006"/>
    <n v="455.40000000000003"/>
    <x v="74"/>
    <d v="2025-03-22T00:00:00"/>
    <s v="M"/>
    <x v="0"/>
    <x v="0"/>
    <x v="0"/>
    <x v="11"/>
    <x v="4"/>
    <x v="11"/>
    <x v="1"/>
  </r>
  <r>
    <x v="2029"/>
    <x v="6"/>
    <x v="2"/>
    <n v="78.7"/>
    <n v="236.10000000000002"/>
    <x v="74"/>
    <d v="2025-03-20T00:00:00"/>
    <s v="F"/>
    <x v="2"/>
    <x v="1"/>
    <x v="0"/>
    <x v="11"/>
    <x v="5"/>
    <x v="11"/>
    <x v="2"/>
  </r>
  <r>
    <x v="2030"/>
    <x v="1"/>
    <x v="0"/>
    <n v="66.3"/>
    <n v="66.3"/>
    <x v="74"/>
    <d v="2025-03-20T00:00:00"/>
    <s v="F"/>
    <x v="0"/>
    <x v="2"/>
    <x v="0"/>
    <x v="19"/>
    <x v="5"/>
    <x v="11"/>
    <x v="2"/>
  </r>
  <r>
    <x v="2031"/>
    <x v="8"/>
    <x v="1"/>
    <n v="33.6"/>
    <n v="67.2"/>
    <x v="74"/>
    <d v="2025-03-16T00:00:00"/>
    <s v="M"/>
    <x v="0"/>
    <x v="1"/>
    <x v="0"/>
    <x v="19"/>
    <x v="7"/>
    <x v="11"/>
    <x v="1"/>
  </r>
  <r>
    <x v="2032"/>
    <x v="2"/>
    <x v="3"/>
    <n v="61.4"/>
    <n v="429.8"/>
    <x v="74"/>
    <d v="2025-03-17T00:00:00"/>
    <s v="M"/>
    <x v="4"/>
    <x v="0"/>
    <x v="0"/>
    <x v="19"/>
    <x v="3"/>
    <x v="11"/>
    <x v="1"/>
  </r>
  <r>
    <x v="2033"/>
    <x v="8"/>
    <x v="1"/>
    <n v="17.5"/>
    <n v="35"/>
    <x v="74"/>
    <d v="2025-03-19T00:00:00"/>
    <s v="F"/>
    <x v="0"/>
    <x v="0"/>
    <x v="0"/>
    <x v="21"/>
    <x v="2"/>
    <x v="11"/>
    <x v="2"/>
  </r>
  <r>
    <x v="2034"/>
    <x v="8"/>
    <x v="1"/>
    <n v="32.5"/>
    <n v="65"/>
    <x v="74"/>
    <d v="2025-03-19T00:00:00"/>
    <s v="F"/>
    <x v="1"/>
    <x v="0"/>
    <x v="0"/>
    <x v="21"/>
    <x v="2"/>
    <x v="11"/>
    <x v="2"/>
  </r>
  <r>
    <x v="2035"/>
    <x v="4"/>
    <x v="0"/>
    <n v="34.6"/>
    <n v="34.6"/>
    <x v="74"/>
    <d v="2025-03-17T00:00:00"/>
    <s v="F"/>
    <x v="4"/>
    <x v="0"/>
    <x v="0"/>
    <x v="21"/>
    <x v="3"/>
    <x v="11"/>
    <x v="2"/>
  </r>
  <r>
    <x v="2036"/>
    <x v="2"/>
    <x v="0"/>
    <n v="75.900000000000006"/>
    <n v="75.900000000000006"/>
    <x v="74"/>
    <d v="2025-03-16T00:00:00"/>
    <s v="M"/>
    <x v="1"/>
    <x v="2"/>
    <x v="0"/>
    <x v="21"/>
    <x v="7"/>
    <x v="11"/>
    <x v="1"/>
  </r>
  <r>
    <x v="2037"/>
    <x v="1"/>
    <x v="2"/>
    <n v="42.1"/>
    <n v="126.30000000000001"/>
    <x v="74"/>
    <d v="2025-03-19T00:00:00"/>
    <s v="M"/>
    <x v="1"/>
    <x v="1"/>
    <x v="0"/>
    <x v="21"/>
    <x v="2"/>
    <x v="11"/>
    <x v="1"/>
  </r>
  <r>
    <x v="2038"/>
    <x v="7"/>
    <x v="2"/>
    <n v="65.3"/>
    <n v="195.89999999999998"/>
    <x v="74"/>
    <d v="2025-03-23T00:00:00"/>
    <s v="M"/>
    <x v="0"/>
    <x v="0"/>
    <x v="0"/>
    <x v="1"/>
    <x v="6"/>
    <x v="11"/>
    <x v="1"/>
  </r>
  <r>
    <x v="2039"/>
    <x v="15"/>
    <x v="0"/>
    <n v="20.6"/>
    <n v="20.6"/>
    <x v="74"/>
    <d v="2025-03-19T00:00:00"/>
    <s v="M"/>
    <x v="3"/>
    <x v="0"/>
    <x v="0"/>
    <x v="42"/>
    <x v="2"/>
    <x v="11"/>
    <x v="1"/>
  </r>
  <r>
    <x v="2040"/>
    <x v="8"/>
    <x v="3"/>
    <n v="16.5"/>
    <n v="115.5"/>
    <x v="74"/>
    <d v="2025-03-17T00:00:00"/>
    <s v="M"/>
    <x v="1"/>
    <x v="1"/>
    <x v="0"/>
    <x v="2"/>
    <x v="3"/>
    <x v="11"/>
    <x v="1"/>
  </r>
  <r>
    <x v="2041"/>
    <x v="16"/>
    <x v="7"/>
    <n v="36.200000000000003"/>
    <n v="362"/>
    <x v="74"/>
    <d v="2025-03-18T00:00:00"/>
    <s v="M"/>
    <x v="0"/>
    <x v="2"/>
    <x v="0"/>
    <x v="2"/>
    <x v="1"/>
    <x v="11"/>
    <x v="1"/>
  </r>
  <r>
    <x v="2042"/>
    <x v="6"/>
    <x v="0"/>
    <n v="53.2"/>
    <n v="53.2"/>
    <x v="74"/>
    <d v="2025-03-17T00:00:00"/>
    <s v="F"/>
    <x v="0"/>
    <x v="1"/>
    <x v="0"/>
    <x v="22"/>
    <x v="3"/>
    <x v="11"/>
    <x v="2"/>
  </r>
  <r>
    <x v="2043"/>
    <x v="2"/>
    <x v="21"/>
    <n v="176"/>
    <n v="2464"/>
    <x v="74"/>
    <d v="2025-03-17T00:00:00"/>
    <s v="F"/>
    <x v="0"/>
    <x v="1"/>
    <x v="0"/>
    <x v="3"/>
    <x v="3"/>
    <x v="11"/>
    <x v="2"/>
  </r>
  <r>
    <x v="2044"/>
    <x v="1"/>
    <x v="0"/>
    <n v="52.4"/>
    <n v="52.4"/>
    <x v="74"/>
    <d v="2025-03-17T00:00:00"/>
    <s v="M"/>
    <x v="1"/>
    <x v="0"/>
    <x v="0"/>
    <x v="3"/>
    <x v="3"/>
    <x v="11"/>
    <x v="1"/>
  </r>
  <r>
    <x v="2045"/>
    <x v="10"/>
    <x v="2"/>
    <n v="48.2"/>
    <n v="144.60000000000002"/>
    <x v="74"/>
    <d v="2025-03-17T00:00:00"/>
    <s v="F"/>
    <x v="1"/>
    <x v="2"/>
    <x v="0"/>
    <x v="3"/>
    <x v="3"/>
    <x v="11"/>
    <x v="2"/>
  </r>
  <r>
    <x v="2046"/>
    <x v="15"/>
    <x v="0"/>
    <n v="51.6"/>
    <n v="51.6"/>
    <x v="74"/>
    <d v="2025-03-20T00:00:00"/>
    <s v="F"/>
    <x v="2"/>
    <x v="1"/>
    <x v="0"/>
    <x v="3"/>
    <x v="5"/>
    <x v="11"/>
    <x v="2"/>
  </r>
  <r>
    <x v="2047"/>
    <x v="0"/>
    <x v="12"/>
    <n v="33.700000000000003"/>
    <n v="134.80000000000001"/>
    <x v="75"/>
    <d v="2025-03-18T00:00:00"/>
    <s v="M"/>
    <x v="0"/>
    <x v="0"/>
    <x v="0"/>
    <x v="3"/>
    <x v="3"/>
    <x v="11"/>
    <x v="1"/>
  </r>
  <r>
    <x v="2048"/>
    <x v="4"/>
    <x v="7"/>
    <n v="36.299999999999997"/>
    <n v="363"/>
    <x v="75"/>
    <d v="2025-03-19T00:00:00"/>
    <s v="F"/>
    <x v="4"/>
    <x v="1"/>
    <x v="0"/>
    <x v="3"/>
    <x v="1"/>
    <x v="11"/>
    <x v="2"/>
  </r>
  <r>
    <x v="2049"/>
    <x v="8"/>
    <x v="0"/>
    <n v="23.4"/>
    <n v="23.4"/>
    <x v="75"/>
    <d v="2025-03-22T00:00:00"/>
    <s v="F"/>
    <x v="1"/>
    <x v="2"/>
    <x v="0"/>
    <x v="3"/>
    <x v="0"/>
    <x v="11"/>
    <x v="2"/>
  </r>
  <r>
    <x v="2050"/>
    <x v="15"/>
    <x v="8"/>
    <n v="56.6"/>
    <n v="452.8"/>
    <x v="75"/>
    <d v="2025-03-19T00:00:00"/>
    <s v="F"/>
    <x v="1"/>
    <x v="0"/>
    <x v="0"/>
    <x v="3"/>
    <x v="1"/>
    <x v="11"/>
    <x v="2"/>
  </r>
  <r>
    <x v="2051"/>
    <x v="15"/>
    <x v="1"/>
    <n v="26.8"/>
    <n v="53.6"/>
    <x v="75"/>
    <d v="2025-03-18T00:00:00"/>
    <s v="M"/>
    <x v="0"/>
    <x v="0"/>
    <x v="0"/>
    <x v="4"/>
    <x v="3"/>
    <x v="11"/>
    <x v="1"/>
  </r>
  <r>
    <x v="2052"/>
    <x v="0"/>
    <x v="2"/>
    <n v="11.3"/>
    <n v="33.900000000000006"/>
    <x v="75"/>
    <d v="2025-03-19T00:00:00"/>
    <s v="M"/>
    <x v="2"/>
    <x v="0"/>
    <x v="0"/>
    <x v="25"/>
    <x v="1"/>
    <x v="11"/>
    <x v="1"/>
  </r>
  <r>
    <x v="2053"/>
    <x v="6"/>
    <x v="2"/>
    <n v="60.1"/>
    <n v="180.3"/>
    <x v="75"/>
    <d v="2025-03-20T00:00:00"/>
    <s v="F"/>
    <x v="0"/>
    <x v="0"/>
    <x v="0"/>
    <x v="7"/>
    <x v="2"/>
    <x v="11"/>
    <x v="2"/>
  </r>
  <r>
    <x v="2054"/>
    <x v="0"/>
    <x v="5"/>
    <n v="27.7"/>
    <n v="304.7"/>
    <x v="75"/>
    <d v="2025-03-22T00:00:00"/>
    <s v="F"/>
    <x v="0"/>
    <x v="0"/>
    <x v="0"/>
    <x v="8"/>
    <x v="0"/>
    <x v="11"/>
    <x v="2"/>
  </r>
  <r>
    <x v="2055"/>
    <x v="15"/>
    <x v="0"/>
    <n v="71.400000000000006"/>
    <n v="71.400000000000006"/>
    <x v="75"/>
    <d v="2025-03-20T00:00:00"/>
    <s v="M"/>
    <x v="0"/>
    <x v="2"/>
    <x v="0"/>
    <x v="8"/>
    <x v="2"/>
    <x v="11"/>
    <x v="1"/>
  </r>
  <r>
    <x v="2056"/>
    <x v="2"/>
    <x v="1"/>
    <n v="66.7"/>
    <n v="133.4"/>
    <x v="75"/>
    <d v="2025-03-18T00:00:00"/>
    <s v="F"/>
    <x v="0"/>
    <x v="2"/>
    <x v="0"/>
    <x v="8"/>
    <x v="3"/>
    <x v="11"/>
    <x v="2"/>
  </r>
  <r>
    <x v="2057"/>
    <x v="13"/>
    <x v="9"/>
    <n v="39.1"/>
    <n v="195.5"/>
    <x v="75"/>
    <d v="2025-03-18T00:00:00"/>
    <s v="F"/>
    <x v="0"/>
    <x v="0"/>
    <x v="0"/>
    <x v="8"/>
    <x v="3"/>
    <x v="11"/>
    <x v="2"/>
  </r>
  <r>
    <x v="2058"/>
    <x v="8"/>
    <x v="12"/>
    <n v="24.9"/>
    <n v="99.6"/>
    <x v="75"/>
    <d v="2025-03-22T00:00:00"/>
    <s v="M"/>
    <x v="1"/>
    <x v="2"/>
    <x v="0"/>
    <x v="8"/>
    <x v="0"/>
    <x v="11"/>
    <x v="1"/>
  </r>
  <r>
    <x v="2059"/>
    <x v="5"/>
    <x v="9"/>
    <n v="29.2"/>
    <n v="146"/>
    <x v="75"/>
    <d v="2025-03-18T00:00:00"/>
    <s v="M"/>
    <x v="0"/>
    <x v="2"/>
    <x v="0"/>
    <x v="17"/>
    <x v="3"/>
    <x v="11"/>
    <x v="1"/>
  </r>
  <r>
    <x v="2060"/>
    <x v="13"/>
    <x v="21"/>
    <n v="28.3"/>
    <n v="396.2"/>
    <x v="75"/>
    <d v="2025-03-19T00:00:00"/>
    <s v="F"/>
    <x v="1"/>
    <x v="0"/>
    <x v="0"/>
    <x v="11"/>
    <x v="1"/>
    <x v="11"/>
    <x v="2"/>
  </r>
  <r>
    <x v="2061"/>
    <x v="9"/>
    <x v="2"/>
    <n v="37.799999999999997"/>
    <n v="113.39999999999999"/>
    <x v="75"/>
    <d v="2025-03-18T00:00:00"/>
    <s v="F"/>
    <x v="0"/>
    <x v="1"/>
    <x v="0"/>
    <x v="11"/>
    <x v="3"/>
    <x v="11"/>
    <x v="2"/>
  </r>
  <r>
    <x v="2062"/>
    <x v="14"/>
    <x v="3"/>
    <n v="28.1"/>
    <n v="196.70000000000002"/>
    <x v="75"/>
    <d v="2025-03-23T00:00:00"/>
    <s v="F"/>
    <x v="2"/>
    <x v="0"/>
    <x v="0"/>
    <x v="11"/>
    <x v="4"/>
    <x v="11"/>
    <x v="2"/>
  </r>
  <r>
    <x v="2063"/>
    <x v="1"/>
    <x v="2"/>
    <n v="59.7"/>
    <n v="179.10000000000002"/>
    <x v="75"/>
    <d v="2025-03-19T00:00:00"/>
    <s v="F"/>
    <x v="2"/>
    <x v="0"/>
    <x v="0"/>
    <x v="11"/>
    <x v="1"/>
    <x v="11"/>
    <x v="2"/>
  </r>
  <r>
    <x v="2064"/>
    <x v="16"/>
    <x v="0"/>
    <n v="71.900000000000006"/>
    <n v="71.900000000000006"/>
    <x v="75"/>
    <d v="2025-03-18T00:00:00"/>
    <s v="M"/>
    <x v="1"/>
    <x v="1"/>
    <x v="0"/>
    <x v="11"/>
    <x v="3"/>
    <x v="11"/>
    <x v="1"/>
  </r>
  <r>
    <x v="2065"/>
    <x v="1"/>
    <x v="1"/>
    <n v="56.9"/>
    <n v="113.8"/>
    <x v="75"/>
    <d v="2025-03-18T00:00:00"/>
    <s v="M"/>
    <x v="2"/>
    <x v="0"/>
    <x v="0"/>
    <x v="13"/>
    <x v="3"/>
    <x v="11"/>
    <x v="1"/>
  </r>
  <r>
    <x v="2066"/>
    <x v="8"/>
    <x v="1"/>
    <n v="15.8"/>
    <n v="31.6"/>
    <x v="75"/>
    <d v="2025-03-20T00:00:00"/>
    <s v="F"/>
    <x v="2"/>
    <x v="1"/>
    <x v="0"/>
    <x v="1"/>
    <x v="2"/>
    <x v="11"/>
    <x v="2"/>
  </r>
  <r>
    <x v="2067"/>
    <x v="11"/>
    <x v="12"/>
    <n v="61.7"/>
    <n v="246.8"/>
    <x v="75"/>
    <d v="2025-03-19T00:00:00"/>
    <s v="F"/>
    <x v="2"/>
    <x v="0"/>
    <x v="0"/>
    <x v="22"/>
    <x v="1"/>
    <x v="11"/>
    <x v="2"/>
  </r>
  <r>
    <x v="2068"/>
    <x v="2"/>
    <x v="7"/>
    <n v="105.2"/>
    <n v="1052"/>
    <x v="75"/>
    <d v="2025-03-19T00:00:00"/>
    <s v="M"/>
    <x v="1"/>
    <x v="4"/>
    <x v="0"/>
    <x v="3"/>
    <x v="1"/>
    <x v="11"/>
    <x v="1"/>
  </r>
  <r>
    <x v="2069"/>
    <x v="0"/>
    <x v="1"/>
    <n v="17"/>
    <n v="34"/>
    <x v="75"/>
    <d v="2025-03-19T00:00:00"/>
    <s v="F"/>
    <x v="2"/>
    <x v="0"/>
    <x v="0"/>
    <x v="3"/>
    <x v="1"/>
    <x v="11"/>
    <x v="2"/>
  </r>
  <r>
    <x v="2070"/>
    <x v="6"/>
    <x v="2"/>
    <n v="84.1"/>
    <n v="252.29999999999998"/>
    <x v="75"/>
    <d v="2025-03-18T00:00:00"/>
    <s v="M"/>
    <x v="2"/>
    <x v="0"/>
    <x v="0"/>
    <x v="3"/>
    <x v="3"/>
    <x v="11"/>
    <x v="1"/>
  </r>
  <r>
    <x v="2071"/>
    <x v="3"/>
    <x v="12"/>
    <n v="59.5"/>
    <n v="238"/>
    <x v="75"/>
    <d v="2025-03-22T00:00:00"/>
    <s v="M"/>
    <x v="0"/>
    <x v="2"/>
    <x v="0"/>
    <x v="3"/>
    <x v="0"/>
    <x v="11"/>
    <x v="1"/>
  </r>
  <r>
    <x v="2072"/>
    <x v="8"/>
    <x v="1"/>
    <n v="57.5"/>
    <n v="115"/>
    <x v="75"/>
    <d v="2025-03-19T00:00:00"/>
    <s v="M"/>
    <x v="1"/>
    <x v="2"/>
    <x v="0"/>
    <x v="3"/>
    <x v="1"/>
    <x v="11"/>
    <x v="1"/>
  </r>
  <r>
    <x v="2073"/>
    <x v="8"/>
    <x v="0"/>
    <n v="34.299999999999997"/>
    <n v="34.299999999999997"/>
    <x v="75"/>
    <d v="2025-03-18T00:00:00"/>
    <s v="F"/>
    <x v="4"/>
    <x v="2"/>
    <x v="0"/>
    <x v="3"/>
    <x v="3"/>
    <x v="11"/>
    <x v="2"/>
  </r>
  <r>
    <x v="2074"/>
    <x v="5"/>
    <x v="1"/>
    <n v="27.8"/>
    <n v="55.6"/>
    <x v="76"/>
    <d v="2025-03-20T00:00:00"/>
    <s v="F"/>
    <x v="0"/>
    <x v="0"/>
    <x v="0"/>
    <x v="3"/>
    <x v="1"/>
    <x v="11"/>
    <x v="2"/>
  </r>
  <r>
    <x v="2075"/>
    <x v="12"/>
    <x v="1"/>
    <n v="85"/>
    <n v="170"/>
    <x v="76"/>
    <d v="2025-03-18T00:00:00"/>
    <s v="M"/>
    <x v="2"/>
    <x v="2"/>
    <x v="0"/>
    <x v="3"/>
    <x v="7"/>
    <x v="11"/>
    <x v="1"/>
  </r>
  <r>
    <x v="2076"/>
    <x v="6"/>
    <x v="1"/>
    <n v="95"/>
    <n v="190"/>
    <x v="76"/>
    <d v="2025-03-20T00:00:00"/>
    <s v="F"/>
    <x v="0"/>
    <x v="0"/>
    <x v="0"/>
    <x v="3"/>
    <x v="1"/>
    <x v="11"/>
    <x v="2"/>
  </r>
  <r>
    <x v="2077"/>
    <x v="16"/>
    <x v="1"/>
    <n v="32"/>
    <n v="64"/>
    <x v="76"/>
    <d v="2025-03-20T00:00:00"/>
    <s v="M"/>
    <x v="0"/>
    <x v="1"/>
    <x v="0"/>
    <x v="3"/>
    <x v="1"/>
    <x v="11"/>
    <x v="1"/>
  </r>
  <r>
    <x v="2078"/>
    <x v="2"/>
    <x v="1"/>
    <n v="65.2"/>
    <n v="130.4"/>
    <x v="76"/>
    <d v="2025-03-19T00:00:00"/>
    <s v="F"/>
    <x v="1"/>
    <x v="0"/>
    <x v="0"/>
    <x v="3"/>
    <x v="3"/>
    <x v="11"/>
    <x v="2"/>
  </r>
  <r>
    <x v="2079"/>
    <x v="17"/>
    <x v="12"/>
    <n v="22"/>
    <n v="88"/>
    <x v="76"/>
    <d v="2025-03-19T00:00:00"/>
    <s v="M"/>
    <x v="1"/>
    <x v="2"/>
    <x v="0"/>
    <x v="3"/>
    <x v="3"/>
    <x v="11"/>
    <x v="1"/>
  </r>
  <r>
    <x v="2080"/>
    <x v="15"/>
    <x v="2"/>
    <n v="69.400000000000006"/>
    <n v="208.20000000000002"/>
    <x v="76"/>
    <d v="2025-03-21T00:00:00"/>
    <s v="M"/>
    <x v="1"/>
    <x v="2"/>
    <x v="0"/>
    <x v="3"/>
    <x v="2"/>
    <x v="11"/>
    <x v="1"/>
  </r>
  <r>
    <x v="2081"/>
    <x v="10"/>
    <x v="13"/>
    <n v="31.5"/>
    <n v="189"/>
    <x v="76"/>
    <d v="2025-03-20T00:00:00"/>
    <s v="F"/>
    <x v="0"/>
    <x v="2"/>
    <x v="0"/>
    <x v="3"/>
    <x v="1"/>
    <x v="11"/>
    <x v="2"/>
  </r>
  <r>
    <x v="2082"/>
    <x v="6"/>
    <x v="0"/>
    <n v="45.8"/>
    <n v="45.8"/>
    <x v="76"/>
    <d v="2025-03-22T00:00:00"/>
    <s v="O"/>
    <x v="0"/>
    <x v="0"/>
    <x v="0"/>
    <x v="3"/>
    <x v="5"/>
    <x v="11"/>
    <x v="3"/>
  </r>
  <r>
    <x v="2083"/>
    <x v="19"/>
    <x v="12"/>
    <n v="12.8"/>
    <n v="51.2"/>
    <x v="76"/>
    <d v="2025-03-25T00:00:00"/>
    <s v="F"/>
    <x v="1"/>
    <x v="1"/>
    <x v="0"/>
    <x v="5"/>
    <x v="6"/>
    <x v="11"/>
    <x v="2"/>
  </r>
  <r>
    <x v="2084"/>
    <x v="5"/>
    <x v="2"/>
    <n v="115.3"/>
    <n v="345.9"/>
    <x v="76"/>
    <d v="2025-03-19T00:00:00"/>
    <s v="F"/>
    <x v="2"/>
    <x v="2"/>
    <x v="0"/>
    <x v="6"/>
    <x v="3"/>
    <x v="11"/>
    <x v="2"/>
  </r>
  <r>
    <x v="2085"/>
    <x v="5"/>
    <x v="1"/>
    <n v="85"/>
    <n v="170"/>
    <x v="76"/>
    <d v="2025-03-20T00:00:00"/>
    <s v="F"/>
    <x v="1"/>
    <x v="0"/>
    <x v="0"/>
    <x v="7"/>
    <x v="1"/>
    <x v="11"/>
    <x v="2"/>
  </r>
  <r>
    <x v="2086"/>
    <x v="8"/>
    <x v="2"/>
    <n v="56.6"/>
    <n v="169.8"/>
    <x v="76"/>
    <d v="2025-03-19T00:00:00"/>
    <s v="F"/>
    <x v="1"/>
    <x v="2"/>
    <x v="0"/>
    <x v="7"/>
    <x v="3"/>
    <x v="11"/>
    <x v="2"/>
  </r>
  <r>
    <x v="2087"/>
    <x v="15"/>
    <x v="6"/>
    <n v="46.3"/>
    <n v="1250.0999999999999"/>
    <x v="76"/>
    <d v="2025-03-21T00:00:00"/>
    <s v="M"/>
    <x v="0"/>
    <x v="0"/>
    <x v="0"/>
    <x v="7"/>
    <x v="2"/>
    <x v="11"/>
    <x v="1"/>
  </r>
  <r>
    <x v="2088"/>
    <x v="14"/>
    <x v="12"/>
    <n v="23"/>
    <n v="92"/>
    <x v="76"/>
    <d v="2025-03-22T00:00:00"/>
    <s v="M"/>
    <x v="3"/>
    <x v="2"/>
    <x v="0"/>
    <x v="7"/>
    <x v="5"/>
    <x v="11"/>
    <x v="1"/>
  </r>
  <r>
    <x v="2089"/>
    <x v="8"/>
    <x v="13"/>
    <n v="42.1"/>
    <n v="252.60000000000002"/>
    <x v="76"/>
    <d v="2025-03-20T00:00:00"/>
    <s v="M"/>
    <x v="4"/>
    <x v="0"/>
    <x v="0"/>
    <x v="8"/>
    <x v="1"/>
    <x v="11"/>
    <x v="1"/>
  </r>
  <r>
    <x v="2090"/>
    <x v="5"/>
    <x v="3"/>
    <n v="57.4"/>
    <n v="401.8"/>
    <x v="76"/>
    <d v="2025-03-22T00:00:00"/>
    <s v="F"/>
    <x v="1"/>
    <x v="4"/>
    <x v="0"/>
    <x v="8"/>
    <x v="5"/>
    <x v="11"/>
    <x v="2"/>
  </r>
  <r>
    <x v="2091"/>
    <x v="0"/>
    <x v="13"/>
    <n v="13.2"/>
    <n v="79.199999999999989"/>
    <x v="76"/>
    <d v="2025-03-22T00:00:00"/>
    <s v="M"/>
    <x v="2"/>
    <x v="0"/>
    <x v="0"/>
    <x v="8"/>
    <x v="5"/>
    <x v="11"/>
    <x v="1"/>
  </r>
  <r>
    <x v="2092"/>
    <x v="6"/>
    <x v="2"/>
    <n v="52.3"/>
    <n v="156.89999999999998"/>
    <x v="76"/>
    <d v="2025-03-19T00:00:00"/>
    <s v="M"/>
    <x v="1"/>
    <x v="0"/>
    <x v="0"/>
    <x v="8"/>
    <x v="3"/>
    <x v="11"/>
    <x v="1"/>
  </r>
  <r>
    <x v="2093"/>
    <x v="8"/>
    <x v="1"/>
    <n v="15.7"/>
    <n v="31.4"/>
    <x v="76"/>
    <d v="2025-03-21T00:00:00"/>
    <s v="M"/>
    <x v="1"/>
    <x v="2"/>
    <x v="0"/>
    <x v="8"/>
    <x v="2"/>
    <x v="11"/>
    <x v="1"/>
  </r>
  <r>
    <x v="2094"/>
    <x v="7"/>
    <x v="2"/>
    <n v="35"/>
    <n v="105"/>
    <x v="76"/>
    <d v="2025-03-21T00:00:00"/>
    <s v="F"/>
    <x v="1"/>
    <x v="2"/>
    <x v="0"/>
    <x v="9"/>
    <x v="2"/>
    <x v="11"/>
    <x v="2"/>
  </r>
  <r>
    <x v="2095"/>
    <x v="4"/>
    <x v="2"/>
    <n v="26.6"/>
    <n v="79.800000000000011"/>
    <x v="76"/>
    <d v="2025-03-18T00:00:00"/>
    <s v="M"/>
    <x v="1"/>
    <x v="2"/>
    <x v="0"/>
    <x v="11"/>
    <x v="7"/>
    <x v="11"/>
    <x v="1"/>
  </r>
  <r>
    <x v="2096"/>
    <x v="4"/>
    <x v="8"/>
    <n v="47.9"/>
    <n v="383.2"/>
    <x v="77"/>
    <d v="2025-03-20T00:00:00"/>
    <s v="F"/>
    <x v="3"/>
    <x v="2"/>
    <x v="0"/>
    <x v="20"/>
    <x v="3"/>
    <x v="11"/>
    <x v="2"/>
  </r>
  <r>
    <x v="2097"/>
    <x v="5"/>
    <x v="0"/>
    <n v="80.099999999999994"/>
    <n v="80.099999999999994"/>
    <x v="77"/>
    <d v="2025-03-20T00:00:00"/>
    <s v="M"/>
    <x v="2"/>
    <x v="0"/>
    <x v="0"/>
    <x v="21"/>
    <x v="3"/>
    <x v="11"/>
    <x v="1"/>
  </r>
  <r>
    <x v="2098"/>
    <x v="6"/>
    <x v="9"/>
    <n v="50.4"/>
    <n v="252"/>
    <x v="77"/>
    <d v="2025-03-20T00:00:00"/>
    <s v="M"/>
    <x v="1"/>
    <x v="2"/>
    <x v="0"/>
    <x v="21"/>
    <x v="3"/>
    <x v="11"/>
    <x v="1"/>
  </r>
  <r>
    <x v="2099"/>
    <x v="10"/>
    <x v="3"/>
    <n v="43.3"/>
    <n v="303.09999999999997"/>
    <x v="77"/>
    <d v="2025-03-20T00:00:00"/>
    <s v="M"/>
    <x v="2"/>
    <x v="0"/>
    <x v="0"/>
    <x v="21"/>
    <x v="3"/>
    <x v="11"/>
    <x v="1"/>
  </r>
  <r>
    <x v="2100"/>
    <x v="10"/>
    <x v="12"/>
    <n v="57.5"/>
    <n v="230"/>
    <x v="77"/>
    <d v="2025-03-20T00:00:00"/>
    <s v="F"/>
    <x v="1"/>
    <x v="2"/>
    <x v="0"/>
    <x v="1"/>
    <x v="3"/>
    <x v="11"/>
    <x v="2"/>
  </r>
  <r>
    <x v="2101"/>
    <x v="9"/>
    <x v="15"/>
    <n v="24.8"/>
    <n v="322.40000000000003"/>
    <x v="77"/>
    <d v="2025-03-20T00:00:00"/>
    <s v="M"/>
    <x v="0"/>
    <x v="0"/>
    <x v="0"/>
    <x v="57"/>
    <x v="3"/>
    <x v="11"/>
    <x v="1"/>
  </r>
  <r>
    <x v="2102"/>
    <x v="2"/>
    <x v="11"/>
    <n v="85.7"/>
    <n v="771.30000000000007"/>
    <x v="77"/>
    <d v="2025-03-20T00:00:00"/>
    <s v="F"/>
    <x v="0"/>
    <x v="0"/>
    <x v="0"/>
    <x v="42"/>
    <x v="3"/>
    <x v="11"/>
    <x v="2"/>
  </r>
  <r>
    <x v="2103"/>
    <x v="7"/>
    <x v="0"/>
    <n v="47.1"/>
    <n v="47.1"/>
    <x v="77"/>
    <d v="2025-03-21T00:00:00"/>
    <s v="F"/>
    <x v="0"/>
    <x v="0"/>
    <x v="0"/>
    <x v="2"/>
    <x v="1"/>
    <x v="11"/>
    <x v="2"/>
  </r>
  <r>
    <x v="2104"/>
    <x v="5"/>
    <x v="7"/>
    <n v="83.2"/>
    <n v="832"/>
    <x v="77"/>
    <d v="2025-03-23T00:00:00"/>
    <s v="F"/>
    <x v="0"/>
    <x v="0"/>
    <x v="0"/>
    <x v="33"/>
    <x v="5"/>
    <x v="11"/>
    <x v="2"/>
  </r>
  <r>
    <x v="2105"/>
    <x v="2"/>
    <x v="2"/>
    <n v="157"/>
    <n v="471"/>
    <x v="77"/>
    <d v="2025-03-21T00:00:00"/>
    <s v="F"/>
    <x v="0"/>
    <x v="2"/>
    <x v="0"/>
    <x v="22"/>
    <x v="1"/>
    <x v="11"/>
    <x v="2"/>
  </r>
  <r>
    <x v="2106"/>
    <x v="16"/>
    <x v="12"/>
    <n v="33.700000000000003"/>
    <n v="134.80000000000001"/>
    <x v="77"/>
    <d v="2025-03-20T00:00:00"/>
    <s v="M"/>
    <x v="2"/>
    <x v="2"/>
    <x v="0"/>
    <x v="22"/>
    <x v="3"/>
    <x v="11"/>
    <x v="1"/>
  </r>
  <r>
    <x v="2107"/>
    <x v="2"/>
    <x v="2"/>
    <n v="60.8"/>
    <n v="182.39999999999998"/>
    <x v="77"/>
    <d v="2025-03-23T00:00:00"/>
    <s v="F"/>
    <x v="1"/>
    <x v="1"/>
    <x v="0"/>
    <x v="3"/>
    <x v="5"/>
    <x v="11"/>
    <x v="2"/>
  </r>
  <r>
    <x v="2108"/>
    <x v="7"/>
    <x v="0"/>
    <n v="57.6"/>
    <n v="57.6"/>
    <x v="77"/>
    <d v="2025-03-20T00:00:00"/>
    <s v="M"/>
    <x v="1"/>
    <x v="4"/>
    <x v="0"/>
    <x v="3"/>
    <x v="3"/>
    <x v="11"/>
    <x v="1"/>
  </r>
  <r>
    <x v="2109"/>
    <x v="10"/>
    <x v="0"/>
    <n v="32"/>
    <n v="32"/>
    <x v="77"/>
    <d v="2025-03-21T00:00:00"/>
    <s v="M"/>
    <x v="0"/>
    <x v="0"/>
    <x v="0"/>
    <x v="3"/>
    <x v="1"/>
    <x v="11"/>
    <x v="1"/>
  </r>
  <r>
    <x v="2110"/>
    <x v="10"/>
    <x v="12"/>
    <n v="23.5"/>
    <n v="94"/>
    <x v="77"/>
    <d v="2025-03-20T00:00:00"/>
    <s v="F"/>
    <x v="0"/>
    <x v="2"/>
    <x v="0"/>
    <x v="3"/>
    <x v="3"/>
    <x v="11"/>
    <x v="2"/>
  </r>
  <r>
    <x v="2111"/>
    <x v="12"/>
    <x v="2"/>
    <n v="44.8"/>
    <n v="134.39999999999998"/>
    <x v="77"/>
    <d v="2025-03-20T00:00:00"/>
    <s v="O"/>
    <x v="4"/>
    <x v="0"/>
    <x v="0"/>
    <x v="3"/>
    <x v="3"/>
    <x v="11"/>
    <x v="3"/>
  </r>
  <r>
    <x v="2112"/>
    <x v="0"/>
    <x v="8"/>
    <n v="11.7"/>
    <n v="93.6"/>
    <x v="77"/>
    <d v="2025-03-20T00:00:00"/>
    <s v="M"/>
    <x v="2"/>
    <x v="2"/>
    <x v="0"/>
    <x v="3"/>
    <x v="3"/>
    <x v="11"/>
    <x v="1"/>
  </r>
  <r>
    <x v="2113"/>
    <x v="7"/>
    <x v="1"/>
    <n v="38.799999999999997"/>
    <n v="77.599999999999994"/>
    <x v="77"/>
    <d v="2025-03-22T00:00:00"/>
    <s v="F"/>
    <x v="2"/>
    <x v="0"/>
    <x v="0"/>
    <x v="3"/>
    <x v="2"/>
    <x v="11"/>
    <x v="2"/>
  </r>
  <r>
    <x v="2114"/>
    <x v="5"/>
    <x v="21"/>
    <n v="86.9"/>
    <n v="1216.6000000000001"/>
    <x v="77"/>
    <d v="2025-03-24T00:00:00"/>
    <s v="F"/>
    <x v="1"/>
    <x v="0"/>
    <x v="0"/>
    <x v="3"/>
    <x v="0"/>
    <x v="11"/>
    <x v="2"/>
  </r>
  <r>
    <x v="2115"/>
    <x v="8"/>
    <x v="0"/>
    <n v="18.3"/>
    <n v="18.3"/>
    <x v="77"/>
    <d v="2025-03-20T00:00:00"/>
    <s v="F"/>
    <x v="0"/>
    <x v="0"/>
    <x v="0"/>
    <x v="3"/>
    <x v="3"/>
    <x v="11"/>
    <x v="2"/>
  </r>
  <r>
    <x v="2116"/>
    <x v="5"/>
    <x v="0"/>
    <n v="47.5"/>
    <n v="47.5"/>
    <x v="77"/>
    <d v="2025-03-23T00:00:00"/>
    <s v="M"/>
    <x v="4"/>
    <x v="2"/>
    <x v="0"/>
    <x v="3"/>
    <x v="5"/>
    <x v="11"/>
    <x v="1"/>
  </r>
  <r>
    <x v="2117"/>
    <x v="1"/>
    <x v="1"/>
    <n v="78.599999999999994"/>
    <n v="157.19999999999999"/>
    <x v="77"/>
    <d v="2025-03-20T00:00:00"/>
    <s v="M"/>
    <x v="2"/>
    <x v="2"/>
    <x v="0"/>
    <x v="3"/>
    <x v="3"/>
    <x v="11"/>
    <x v="1"/>
  </r>
  <r>
    <x v="2118"/>
    <x v="6"/>
    <x v="12"/>
    <n v="87.3"/>
    <n v="349.2"/>
    <x v="77"/>
    <d v="2025-03-20T00:00:00"/>
    <s v="M"/>
    <x v="0"/>
    <x v="0"/>
    <x v="0"/>
    <x v="3"/>
    <x v="3"/>
    <x v="11"/>
    <x v="1"/>
  </r>
  <r>
    <x v="2119"/>
    <x v="9"/>
    <x v="1"/>
    <n v="63.2"/>
    <n v="126.4"/>
    <x v="77"/>
    <d v="2025-03-19T00:00:00"/>
    <s v="M"/>
    <x v="4"/>
    <x v="1"/>
    <x v="0"/>
    <x v="3"/>
    <x v="7"/>
    <x v="11"/>
    <x v="1"/>
  </r>
  <r>
    <x v="2120"/>
    <x v="5"/>
    <x v="9"/>
    <n v="33.700000000000003"/>
    <n v="168.5"/>
    <x v="77"/>
    <d v="2025-03-20T00:00:00"/>
    <s v="F"/>
    <x v="0"/>
    <x v="0"/>
    <x v="0"/>
    <x v="3"/>
    <x v="3"/>
    <x v="11"/>
    <x v="2"/>
  </r>
  <r>
    <x v="2121"/>
    <x v="2"/>
    <x v="2"/>
    <n v="107.4"/>
    <n v="322.20000000000005"/>
    <x v="77"/>
    <d v="2025-04-01T00:00:00"/>
    <s v="F"/>
    <x v="1"/>
    <x v="2"/>
    <x v="0"/>
    <x v="3"/>
    <x v="10"/>
    <x v="11"/>
    <x v="2"/>
  </r>
  <r>
    <x v="2122"/>
    <x v="4"/>
    <x v="12"/>
    <n v="22.2"/>
    <n v="88.8"/>
    <x v="77"/>
    <d v="2025-03-20T00:00:00"/>
    <s v=""/>
    <x v="1"/>
    <x v="2"/>
    <x v="0"/>
    <x v="24"/>
    <x v="3"/>
    <x v="11"/>
    <x v="0"/>
  </r>
  <r>
    <x v="2123"/>
    <x v="18"/>
    <x v="2"/>
    <n v="52.8"/>
    <n v="158.39999999999998"/>
    <x v="77"/>
    <d v="2025-03-20T00:00:00"/>
    <s v="M"/>
    <x v="3"/>
    <x v="2"/>
    <x v="0"/>
    <x v="24"/>
    <x v="3"/>
    <x v="11"/>
    <x v="1"/>
  </r>
  <r>
    <x v="2124"/>
    <x v="8"/>
    <x v="2"/>
    <n v="41.5"/>
    <n v="124.5"/>
    <x v="77"/>
    <d v="2025-03-22T00:00:00"/>
    <s v="F"/>
    <x v="0"/>
    <x v="0"/>
    <x v="0"/>
    <x v="25"/>
    <x v="2"/>
    <x v="11"/>
    <x v="2"/>
  </r>
  <r>
    <x v="2125"/>
    <x v="12"/>
    <x v="8"/>
    <n v="103.5"/>
    <n v="828"/>
    <x v="77"/>
    <d v="2025-03-22T00:00:00"/>
    <s v="F"/>
    <x v="0"/>
    <x v="2"/>
    <x v="0"/>
    <x v="23"/>
    <x v="2"/>
    <x v="11"/>
    <x v="2"/>
  </r>
  <r>
    <x v="2126"/>
    <x v="4"/>
    <x v="21"/>
    <n v="37.5"/>
    <n v="525"/>
    <x v="77"/>
    <d v="2025-03-19T00:00:00"/>
    <s v="F"/>
    <x v="1"/>
    <x v="2"/>
    <x v="0"/>
    <x v="6"/>
    <x v="7"/>
    <x v="11"/>
    <x v="2"/>
  </r>
  <r>
    <x v="2127"/>
    <x v="15"/>
    <x v="8"/>
    <n v="44.4"/>
    <n v="355.2"/>
    <x v="77"/>
    <d v="2025-03-25T00:00:00"/>
    <s v="F"/>
    <x v="3"/>
    <x v="2"/>
    <x v="0"/>
    <x v="7"/>
    <x v="4"/>
    <x v="11"/>
    <x v="2"/>
  </r>
  <r>
    <x v="2128"/>
    <x v="8"/>
    <x v="2"/>
    <n v="26.2"/>
    <n v="78.599999999999994"/>
    <x v="77"/>
    <d v="2025-03-20T00:00:00"/>
    <s v="M"/>
    <x v="0"/>
    <x v="0"/>
    <x v="0"/>
    <x v="8"/>
    <x v="3"/>
    <x v="11"/>
    <x v="1"/>
  </r>
  <r>
    <x v="2129"/>
    <x v="1"/>
    <x v="3"/>
    <n v="32.200000000000003"/>
    <n v="225.40000000000003"/>
    <x v="77"/>
    <d v="2025-03-20T00:00:00"/>
    <s v="F"/>
    <x v="1"/>
    <x v="2"/>
    <x v="0"/>
    <x v="8"/>
    <x v="3"/>
    <x v="11"/>
    <x v="2"/>
  </r>
  <r>
    <x v="2130"/>
    <x v="8"/>
    <x v="0"/>
    <n v="17.399999999999999"/>
    <n v="17.399999999999999"/>
    <x v="77"/>
    <d v="2025-03-23T00:00:00"/>
    <s v=""/>
    <x v="2"/>
    <x v="1"/>
    <x v="0"/>
    <x v="8"/>
    <x v="5"/>
    <x v="11"/>
    <x v="0"/>
  </r>
  <r>
    <x v="2131"/>
    <x v="8"/>
    <x v="13"/>
    <n v="72.3"/>
    <n v="433.79999999999995"/>
    <x v="77"/>
    <d v="2025-03-22T00:00:00"/>
    <s v="F"/>
    <x v="0"/>
    <x v="0"/>
    <x v="0"/>
    <x v="8"/>
    <x v="2"/>
    <x v="11"/>
    <x v="2"/>
  </r>
  <r>
    <x v="2132"/>
    <x v="8"/>
    <x v="5"/>
    <n v="24.3"/>
    <n v="267.3"/>
    <x v="77"/>
    <d v="2025-03-20T00:00:00"/>
    <s v="M"/>
    <x v="0"/>
    <x v="0"/>
    <x v="0"/>
    <x v="8"/>
    <x v="3"/>
    <x v="11"/>
    <x v="1"/>
  </r>
  <r>
    <x v="2133"/>
    <x v="13"/>
    <x v="2"/>
    <n v="49.1"/>
    <n v="147.30000000000001"/>
    <x v="77"/>
    <d v="2025-03-25T00:00:00"/>
    <s v="M"/>
    <x v="2"/>
    <x v="4"/>
    <x v="0"/>
    <x v="8"/>
    <x v="4"/>
    <x v="11"/>
    <x v="1"/>
  </r>
  <r>
    <x v="2134"/>
    <x v="2"/>
    <x v="7"/>
    <n v="234.7"/>
    <n v="2347"/>
    <x v="77"/>
    <d v="2025-03-20T00:00:00"/>
    <s v="M"/>
    <x v="3"/>
    <x v="1"/>
    <x v="0"/>
    <x v="8"/>
    <x v="3"/>
    <x v="11"/>
    <x v="1"/>
  </r>
  <r>
    <x v="2135"/>
    <x v="3"/>
    <x v="9"/>
    <n v="76.099999999999994"/>
    <n v="380.5"/>
    <x v="77"/>
    <d v="2025-03-21T00:00:00"/>
    <s v="M"/>
    <x v="1"/>
    <x v="1"/>
    <x v="0"/>
    <x v="17"/>
    <x v="1"/>
    <x v="11"/>
    <x v="1"/>
  </r>
  <r>
    <x v="2136"/>
    <x v="1"/>
    <x v="2"/>
    <n v="93.9"/>
    <n v="281.70000000000005"/>
    <x v="77"/>
    <d v="2025-03-20T00:00:00"/>
    <s v="M"/>
    <x v="1"/>
    <x v="4"/>
    <x v="0"/>
    <x v="11"/>
    <x v="3"/>
    <x v="11"/>
    <x v="1"/>
  </r>
  <r>
    <x v="2137"/>
    <x v="2"/>
    <x v="12"/>
    <n v="187"/>
    <n v="748"/>
    <x v="78"/>
    <d v="2025-03-23T00:00:00"/>
    <s v="M"/>
    <x v="0"/>
    <x v="0"/>
    <x v="0"/>
    <x v="11"/>
    <x v="2"/>
    <x v="11"/>
    <x v="1"/>
  </r>
  <r>
    <x v="2138"/>
    <x v="8"/>
    <x v="1"/>
    <n v="18"/>
    <n v="36"/>
    <x v="78"/>
    <d v="2025-03-21T00:00:00"/>
    <s v="F"/>
    <x v="1"/>
    <x v="2"/>
    <x v="0"/>
    <x v="53"/>
    <x v="3"/>
    <x v="11"/>
    <x v="2"/>
  </r>
  <r>
    <x v="2139"/>
    <x v="4"/>
    <x v="0"/>
    <n v="24.4"/>
    <n v="24.4"/>
    <x v="78"/>
    <d v="2025-03-21T00:00:00"/>
    <s v="F"/>
    <x v="4"/>
    <x v="2"/>
    <x v="0"/>
    <x v="21"/>
    <x v="3"/>
    <x v="11"/>
    <x v="2"/>
  </r>
  <r>
    <x v="2140"/>
    <x v="10"/>
    <x v="1"/>
    <n v="38.799999999999997"/>
    <n v="77.599999999999994"/>
    <x v="78"/>
    <d v="2025-03-21T00:00:00"/>
    <s v="M"/>
    <x v="4"/>
    <x v="1"/>
    <x v="0"/>
    <x v="3"/>
    <x v="3"/>
    <x v="11"/>
    <x v="1"/>
  </r>
  <r>
    <x v="2141"/>
    <x v="3"/>
    <x v="0"/>
    <n v="59.7"/>
    <n v="59.7"/>
    <x v="78"/>
    <d v="2025-03-23T00:00:00"/>
    <s v="M"/>
    <x v="3"/>
    <x v="0"/>
    <x v="0"/>
    <x v="3"/>
    <x v="2"/>
    <x v="11"/>
    <x v="1"/>
  </r>
  <r>
    <x v="2142"/>
    <x v="7"/>
    <x v="0"/>
    <n v="31.2"/>
    <n v="31.2"/>
    <x v="78"/>
    <d v="2025-03-21T00:00:00"/>
    <s v="M"/>
    <x v="1"/>
    <x v="2"/>
    <x v="0"/>
    <x v="3"/>
    <x v="3"/>
    <x v="11"/>
    <x v="1"/>
  </r>
  <r>
    <x v="2143"/>
    <x v="0"/>
    <x v="0"/>
    <n v="16.8"/>
    <n v="16.8"/>
    <x v="78"/>
    <d v="2025-03-21T00:00:00"/>
    <s v="F"/>
    <x v="2"/>
    <x v="1"/>
    <x v="0"/>
    <x v="3"/>
    <x v="3"/>
    <x v="11"/>
    <x v="2"/>
  </r>
  <r>
    <x v="2144"/>
    <x v="8"/>
    <x v="0"/>
    <n v="46"/>
    <n v="46"/>
    <x v="78"/>
    <d v="2025-03-21T00:00:00"/>
    <s v="M"/>
    <x v="0"/>
    <x v="0"/>
    <x v="0"/>
    <x v="3"/>
    <x v="3"/>
    <x v="11"/>
    <x v="1"/>
  </r>
  <r>
    <x v="2145"/>
    <x v="9"/>
    <x v="8"/>
    <n v="42.2"/>
    <n v="337.6"/>
    <x v="78"/>
    <d v="2025-03-23T00:00:00"/>
    <s v="F"/>
    <x v="3"/>
    <x v="2"/>
    <x v="0"/>
    <x v="3"/>
    <x v="2"/>
    <x v="11"/>
    <x v="2"/>
  </r>
  <r>
    <x v="2146"/>
    <x v="1"/>
    <x v="2"/>
    <n v="71.5"/>
    <n v="214.5"/>
    <x v="78"/>
    <d v="2025-04-03T00:00:00"/>
    <s v="F"/>
    <x v="0"/>
    <x v="0"/>
    <x v="0"/>
    <x v="3"/>
    <x v="12"/>
    <x v="11"/>
    <x v="2"/>
  </r>
  <r>
    <x v="2147"/>
    <x v="1"/>
    <x v="1"/>
    <n v="76.599999999999994"/>
    <n v="153.19999999999999"/>
    <x v="78"/>
    <d v="2025-03-20T00:00:00"/>
    <s v="M"/>
    <x v="0"/>
    <x v="2"/>
    <x v="0"/>
    <x v="3"/>
    <x v="7"/>
    <x v="11"/>
    <x v="1"/>
  </r>
  <r>
    <x v="2148"/>
    <x v="12"/>
    <x v="1"/>
    <n v="87.3"/>
    <n v="174.6"/>
    <x v="78"/>
    <d v="2025-03-28T00:00:00"/>
    <s v="F"/>
    <x v="3"/>
    <x v="2"/>
    <x v="0"/>
    <x v="3"/>
    <x v="9"/>
    <x v="11"/>
    <x v="2"/>
  </r>
  <r>
    <x v="2149"/>
    <x v="1"/>
    <x v="0"/>
    <n v="63"/>
    <n v="63"/>
    <x v="78"/>
    <d v="2025-03-23T00:00:00"/>
    <s v="M"/>
    <x v="3"/>
    <x v="0"/>
    <x v="0"/>
    <x v="3"/>
    <x v="2"/>
    <x v="11"/>
    <x v="1"/>
  </r>
  <r>
    <x v="2150"/>
    <x v="8"/>
    <x v="1"/>
    <n v="41.7"/>
    <n v="83.4"/>
    <x v="78"/>
    <d v="2025-03-21T00:00:00"/>
    <s v="F"/>
    <x v="4"/>
    <x v="1"/>
    <x v="0"/>
    <x v="43"/>
    <x v="3"/>
    <x v="11"/>
    <x v="2"/>
  </r>
  <r>
    <x v="2151"/>
    <x v="6"/>
    <x v="1"/>
    <n v="76.099999999999994"/>
    <n v="152.19999999999999"/>
    <x v="78"/>
    <d v="2025-03-20T00:00:00"/>
    <s v="F"/>
    <x v="4"/>
    <x v="2"/>
    <x v="0"/>
    <x v="16"/>
    <x v="7"/>
    <x v="11"/>
    <x v="2"/>
  </r>
  <r>
    <x v="2152"/>
    <x v="13"/>
    <x v="1"/>
    <n v="28.5"/>
    <n v="57"/>
    <x v="78"/>
    <d v="2025-03-21T00:00:00"/>
    <s v="F"/>
    <x v="0"/>
    <x v="2"/>
    <x v="0"/>
    <x v="4"/>
    <x v="3"/>
    <x v="11"/>
    <x v="2"/>
  </r>
  <r>
    <x v="2153"/>
    <x v="0"/>
    <x v="12"/>
    <n v="32.1"/>
    <n v="128.4"/>
    <x v="78"/>
    <d v="2025-03-21T00:00:00"/>
    <s v="F"/>
    <x v="1"/>
    <x v="2"/>
    <x v="0"/>
    <x v="25"/>
    <x v="3"/>
    <x v="11"/>
    <x v="2"/>
  </r>
  <r>
    <x v="2154"/>
    <x v="4"/>
    <x v="2"/>
    <n v="39"/>
    <n v="117"/>
    <x v="78"/>
    <d v="2025-03-23T00:00:00"/>
    <s v="M"/>
    <x v="1"/>
    <x v="2"/>
    <x v="0"/>
    <x v="25"/>
    <x v="2"/>
    <x v="11"/>
    <x v="1"/>
  </r>
  <r>
    <x v="2155"/>
    <x v="6"/>
    <x v="0"/>
    <n v="78.5"/>
    <n v="78.5"/>
    <x v="78"/>
    <d v="2025-03-21T00:00:00"/>
    <s v="M"/>
    <x v="1"/>
    <x v="0"/>
    <x v="0"/>
    <x v="6"/>
    <x v="3"/>
    <x v="11"/>
    <x v="1"/>
  </r>
  <r>
    <x v="2156"/>
    <x v="4"/>
    <x v="9"/>
    <n v="49.7"/>
    <n v="248.5"/>
    <x v="78"/>
    <d v="2025-03-22T00:00:00"/>
    <s v="F"/>
    <x v="0"/>
    <x v="0"/>
    <x v="0"/>
    <x v="6"/>
    <x v="1"/>
    <x v="11"/>
    <x v="2"/>
  </r>
  <r>
    <x v="2157"/>
    <x v="1"/>
    <x v="12"/>
    <n v="68.400000000000006"/>
    <n v="273.60000000000002"/>
    <x v="78"/>
    <d v="2025-03-21T00:00:00"/>
    <s v="F"/>
    <x v="2"/>
    <x v="2"/>
    <x v="0"/>
    <x v="7"/>
    <x v="3"/>
    <x v="11"/>
    <x v="2"/>
  </r>
  <r>
    <x v="2158"/>
    <x v="3"/>
    <x v="1"/>
    <n v="72.900000000000006"/>
    <n v="145.80000000000001"/>
    <x v="78"/>
    <d v="2025-03-23T00:00:00"/>
    <s v=""/>
    <x v="0"/>
    <x v="2"/>
    <x v="0"/>
    <x v="7"/>
    <x v="2"/>
    <x v="11"/>
    <x v="0"/>
  </r>
  <r>
    <x v="2159"/>
    <x v="5"/>
    <x v="15"/>
    <n v="30.3"/>
    <n v="393.90000000000003"/>
    <x v="78"/>
    <d v="2025-03-21T00:00:00"/>
    <s v="M"/>
    <x v="4"/>
    <x v="0"/>
    <x v="0"/>
    <x v="7"/>
    <x v="3"/>
    <x v="11"/>
    <x v="1"/>
  </r>
  <r>
    <x v="2160"/>
    <x v="6"/>
    <x v="5"/>
    <n v="57.9"/>
    <n v="636.9"/>
    <x v="78"/>
    <d v="2025-03-21T00:00:00"/>
    <s v="F"/>
    <x v="0"/>
    <x v="0"/>
    <x v="0"/>
    <x v="8"/>
    <x v="3"/>
    <x v="11"/>
    <x v="2"/>
  </r>
  <r>
    <x v="2161"/>
    <x v="1"/>
    <x v="0"/>
    <n v="96.7"/>
    <n v="96.7"/>
    <x v="78"/>
    <d v="2025-03-21T00:00:00"/>
    <s v="M"/>
    <x v="0"/>
    <x v="0"/>
    <x v="0"/>
    <x v="8"/>
    <x v="3"/>
    <x v="11"/>
    <x v="1"/>
  </r>
  <r>
    <x v="2162"/>
    <x v="8"/>
    <x v="4"/>
    <n v="27.6"/>
    <n v="331.20000000000005"/>
    <x v="78"/>
    <d v="2025-03-22T00:00:00"/>
    <s v="M"/>
    <x v="2"/>
    <x v="2"/>
    <x v="0"/>
    <x v="8"/>
    <x v="1"/>
    <x v="11"/>
    <x v="1"/>
  </r>
  <r>
    <x v="2163"/>
    <x v="6"/>
    <x v="12"/>
    <n v="64.7"/>
    <n v="258.8"/>
    <x v="78"/>
    <d v="2025-03-20T00:00:00"/>
    <s v="M"/>
    <x v="3"/>
    <x v="2"/>
    <x v="0"/>
    <x v="8"/>
    <x v="7"/>
    <x v="11"/>
    <x v="1"/>
  </r>
  <r>
    <x v="2164"/>
    <x v="10"/>
    <x v="13"/>
    <n v="30.5"/>
    <n v="183"/>
    <x v="78"/>
    <d v="2025-03-21T00:00:00"/>
    <s v="M"/>
    <x v="4"/>
    <x v="0"/>
    <x v="0"/>
    <x v="8"/>
    <x v="3"/>
    <x v="11"/>
    <x v="1"/>
  </r>
  <r>
    <x v="2165"/>
    <x v="6"/>
    <x v="47"/>
    <n v="106"/>
    <n v="7420"/>
    <x v="79"/>
    <d v="2025-03-23T00:00:00"/>
    <s v="M"/>
    <x v="4"/>
    <x v="2"/>
    <x v="0"/>
    <x v="8"/>
    <x v="1"/>
    <x v="11"/>
    <x v="1"/>
  </r>
  <r>
    <x v="2166"/>
    <x v="12"/>
    <x v="9"/>
    <n v="76.8"/>
    <n v="384"/>
    <x v="79"/>
    <d v="2025-03-27T00:00:00"/>
    <s v=""/>
    <x v="1"/>
    <x v="1"/>
    <x v="0"/>
    <x v="18"/>
    <x v="4"/>
    <x v="11"/>
    <x v="0"/>
  </r>
  <r>
    <x v="2167"/>
    <x v="6"/>
    <x v="1"/>
    <n v="80.400000000000006"/>
    <n v="160.80000000000001"/>
    <x v="79"/>
    <d v="2025-03-22T00:00:00"/>
    <s v="F"/>
    <x v="2"/>
    <x v="0"/>
    <x v="0"/>
    <x v="13"/>
    <x v="3"/>
    <x v="11"/>
    <x v="2"/>
  </r>
  <r>
    <x v="2168"/>
    <x v="6"/>
    <x v="12"/>
    <n v="69.099999999999994"/>
    <n v="276.39999999999998"/>
    <x v="79"/>
    <d v="2025-03-22T00:00:00"/>
    <s v="M"/>
    <x v="1"/>
    <x v="2"/>
    <x v="0"/>
    <x v="21"/>
    <x v="3"/>
    <x v="11"/>
    <x v="1"/>
  </r>
  <r>
    <x v="2169"/>
    <x v="18"/>
    <x v="1"/>
    <n v="76.400000000000006"/>
    <n v="152.80000000000001"/>
    <x v="79"/>
    <d v="2025-03-21T00:00:00"/>
    <s v="M"/>
    <x v="3"/>
    <x v="0"/>
    <x v="0"/>
    <x v="21"/>
    <x v="7"/>
    <x v="11"/>
    <x v="1"/>
  </r>
  <r>
    <x v="2170"/>
    <x v="2"/>
    <x v="1"/>
    <n v="61.3"/>
    <n v="122.6"/>
    <x v="79"/>
    <d v="2025-03-22T00:00:00"/>
    <s v="F"/>
    <x v="1"/>
    <x v="1"/>
    <x v="0"/>
    <x v="21"/>
    <x v="3"/>
    <x v="11"/>
    <x v="2"/>
  </r>
  <r>
    <x v="2171"/>
    <x v="7"/>
    <x v="0"/>
    <n v="58"/>
    <n v="58"/>
    <x v="79"/>
    <d v="2025-03-22T00:00:00"/>
    <s v="M"/>
    <x v="3"/>
    <x v="1"/>
    <x v="0"/>
    <x v="1"/>
    <x v="3"/>
    <x v="11"/>
    <x v="1"/>
  </r>
  <r>
    <x v="2172"/>
    <x v="2"/>
    <x v="8"/>
    <n v="102.3"/>
    <n v="818.4"/>
    <x v="79"/>
    <d v="2025-03-23T00:00:00"/>
    <s v="M"/>
    <x v="2"/>
    <x v="0"/>
    <x v="0"/>
    <x v="42"/>
    <x v="1"/>
    <x v="11"/>
    <x v="1"/>
  </r>
  <r>
    <x v="2173"/>
    <x v="19"/>
    <x v="1"/>
    <n v="13.8"/>
    <n v="27.6"/>
    <x v="79"/>
    <d v="2025-03-22T00:00:00"/>
    <s v="F"/>
    <x v="4"/>
    <x v="2"/>
    <x v="0"/>
    <x v="2"/>
    <x v="3"/>
    <x v="11"/>
    <x v="2"/>
  </r>
  <r>
    <x v="2174"/>
    <x v="8"/>
    <x v="2"/>
    <n v="33.299999999999997"/>
    <n v="99.899999999999991"/>
    <x v="79"/>
    <d v="2025-03-24T00:00:00"/>
    <s v="F"/>
    <x v="2"/>
    <x v="0"/>
    <x v="0"/>
    <x v="22"/>
    <x v="2"/>
    <x v="11"/>
    <x v="2"/>
  </r>
  <r>
    <x v="2175"/>
    <x v="10"/>
    <x v="0"/>
    <n v="27.4"/>
    <n v="27.4"/>
    <x v="79"/>
    <d v="2025-03-24T00:00:00"/>
    <s v="M"/>
    <x v="0"/>
    <x v="2"/>
    <x v="0"/>
    <x v="22"/>
    <x v="2"/>
    <x v="11"/>
    <x v="1"/>
  </r>
  <r>
    <x v="2176"/>
    <x v="14"/>
    <x v="1"/>
    <n v="25.6"/>
    <n v="51.2"/>
    <x v="79"/>
    <d v="2025-03-22T00:00:00"/>
    <s v="F"/>
    <x v="1"/>
    <x v="1"/>
    <x v="0"/>
    <x v="3"/>
    <x v="3"/>
    <x v="11"/>
    <x v="2"/>
  </r>
  <r>
    <x v="2177"/>
    <x v="13"/>
    <x v="0"/>
    <n v="58.4"/>
    <n v="58.4"/>
    <x v="79"/>
    <d v="2025-03-22T00:00:00"/>
    <s v="F"/>
    <x v="2"/>
    <x v="2"/>
    <x v="0"/>
    <x v="3"/>
    <x v="3"/>
    <x v="11"/>
    <x v="2"/>
  </r>
  <r>
    <x v="2178"/>
    <x v="11"/>
    <x v="17"/>
    <n v="27"/>
    <n v="810"/>
    <x v="79"/>
    <d v="2025-03-22T00:00:00"/>
    <s v="F"/>
    <x v="4"/>
    <x v="0"/>
    <x v="0"/>
    <x v="3"/>
    <x v="3"/>
    <x v="11"/>
    <x v="2"/>
  </r>
  <r>
    <x v="2179"/>
    <x v="0"/>
    <x v="12"/>
    <n v="14.2"/>
    <n v="56.8"/>
    <x v="79"/>
    <d v="2025-03-22T00:00:00"/>
    <s v="M"/>
    <x v="0"/>
    <x v="2"/>
    <x v="0"/>
    <x v="3"/>
    <x v="3"/>
    <x v="11"/>
    <x v="1"/>
  </r>
  <r>
    <x v="2180"/>
    <x v="7"/>
    <x v="1"/>
    <n v="68"/>
    <n v="136"/>
    <x v="79"/>
    <d v="2025-03-31T00:00:00"/>
    <s v="M"/>
    <x v="2"/>
    <x v="1"/>
    <x v="0"/>
    <x v="3"/>
    <x v="14"/>
    <x v="11"/>
    <x v="1"/>
  </r>
  <r>
    <x v="2181"/>
    <x v="8"/>
    <x v="0"/>
    <n v="30.7"/>
    <n v="30.7"/>
    <x v="79"/>
    <d v="2025-03-22T00:00:00"/>
    <s v="M"/>
    <x v="0"/>
    <x v="0"/>
    <x v="0"/>
    <x v="3"/>
    <x v="3"/>
    <x v="11"/>
    <x v="1"/>
  </r>
  <r>
    <x v="2182"/>
    <x v="17"/>
    <x v="15"/>
    <n v="51.6"/>
    <n v="670.80000000000007"/>
    <x v="79"/>
    <d v="2025-03-24T00:00:00"/>
    <s v="O"/>
    <x v="1"/>
    <x v="2"/>
    <x v="0"/>
    <x v="3"/>
    <x v="2"/>
    <x v="11"/>
    <x v="3"/>
  </r>
  <r>
    <x v="2183"/>
    <x v="8"/>
    <x v="2"/>
    <n v="20.6"/>
    <n v="61.800000000000004"/>
    <x v="79"/>
    <d v="2025-03-25T00:00:00"/>
    <s v="F"/>
    <x v="4"/>
    <x v="2"/>
    <x v="0"/>
    <x v="3"/>
    <x v="5"/>
    <x v="11"/>
    <x v="2"/>
  </r>
  <r>
    <x v="2184"/>
    <x v="8"/>
    <x v="0"/>
    <n v="24.8"/>
    <n v="24.8"/>
    <x v="79"/>
    <d v="2025-03-22T00:00:00"/>
    <s v="M"/>
    <x v="4"/>
    <x v="0"/>
    <x v="0"/>
    <x v="3"/>
    <x v="3"/>
    <x v="11"/>
    <x v="1"/>
  </r>
  <r>
    <x v="2185"/>
    <x v="0"/>
    <x v="3"/>
    <n v="11.2"/>
    <n v="78.399999999999991"/>
    <x v="79"/>
    <d v="2025-03-24T00:00:00"/>
    <s v="M"/>
    <x v="1"/>
    <x v="0"/>
    <x v="0"/>
    <x v="3"/>
    <x v="2"/>
    <x v="11"/>
    <x v="1"/>
  </r>
  <r>
    <x v="2186"/>
    <x v="11"/>
    <x v="1"/>
    <n v="51.2"/>
    <n v="102.4"/>
    <x v="79"/>
    <d v="2025-03-22T00:00:00"/>
    <s v="F"/>
    <x v="1"/>
    <x v="2"/>
    <x v="0"/>
    <x v="3"/>
    <x v="3"/>
    <x v="11"/>
    <x v="2"/>
  </r>
  <r>
    <x v="2187"/>
    <x v="7"/>
    <x v="13"/>
    <n v="90.5"/>
    <n v="543"/>
    <x v="79"/>
    <d v="2025-03-22T00:00:00"/>
    <s v="F"/>
    <x v="1"/>
    <x v="4"/>
    <x v="0"/>
    <x v="3"/>
    <x v="3"/>
    <x v="11"/>
    <x v="2"/>
  </r>
  <r>
    <x v="2188"/>
    <x v="1"/>
    <x v="1"/>
    <n v="42.4"/>
    <n v="84.8"/>
    <x v="79"/>
    <d v="2025-03-22T00:00:00"/>
    <s v="M"/>
    <x v="1"/>
    <x v="2"/>
    <x v="0"/>
    <x v="4"/>
    <x v="3"/>
    <x v="11"/>
    <x v="1"/>
  </r>
  <r>
    <x v="2189"/>
    <x v="1"/>
    <x v="1"/>
    <n v="38.200000000000003"/>
    <n v="76.400000000000006"/>
    <x v="79"/>
    <d v="2025-03-22T00:00:00"/>
    <s v="M"/>
    <x v="0"/>
    <x v="0"/>
    <x v="0"/>
    <x v="5"/>
    <x v="3"/>
    <x v="11"/>
    <x v="1"/>
  </r>
  <r>
    <x v="2190"/>
    <x v="2"/>
    <x v="11"/>
    <n v="121.3"/>
    <n v="1091.7"/>
    <x v="79"/>
    <d v="2025-03-26T00:00:00"/>
    <s v="M"/>
    <x v="0"/>
    <x v="0"/>
    <x v="0"/>
    <x v="6"/>
    <x v="0"/>
    <x v="11"/>
    <x v="1"/>
  </r>
  <r>
    <x v="2191"/>
    <x v="6"/>
    <x v="1"/>
    <n v="46.9"/>
    <n v="93.8"/>
    <x v="79"/>
    <d v="2025-03-28T00:00:00"/>
    <s v="M"/>
    <x v="0"/>
    <x v="0"/>
    <x v="0"/>
    <x v="8"/>
    <x v="6"/>
    <x v="11"/>
    <x v="1"/>
  </r>
  <r>
    <x v="2192"/>
    <x v="10"/>
    <x v="0"/>
    <n v="55.3"/>
    <n v="55.3"/>
    <x v="79"/>
    <d v="2025-03-23T00:00:00"/>
    <s v="M"/>
    <x v="0"/>
    <x v="0"/>
    <x v="0"/>
    <x v="8"/>
    <x v="1"/>
    <x v="11"/>
    <x v="1"/>
  </r>
  <r>
    <x v="2193"/>
    <x v="2"/>
    <x v="2"/>
    <n v="70.599999999999994"/>
    <n v="211.79999999999998"/>
    <x v="80"/>
    <d v="2025-03-22T00:00:00"/>
    <s v="F"/>
    <x v="0"/>
    <x v="1"/>
    <x v="0"/>
    <x v="8"/>
    <x v="7"/>
    <x v="11"/>
    <x v="2"/>
  </r>
  <r>
    <x v="2194"/>
    <x v="14"/>
    <x v="12"/>
    <n v="26.1"/>
    <n v="104.4"/>
    <x v="80"/>
    <d v="2025-03-24T00:00:00"/>
    <s v="M"/>
    <x v="0"/>
    <x v="0"/>
    <x v="0"/>
    <x v="8"/>
    <x v="1"/>
    <x v="11"/>
    <x v="1"/>
  </r>
  <r>
    <x v="2195"/>
    <x v="9"/>
    <x v="5"/>
    <n v="34.5"/>
    <n v="379.5"/>
    <x v="80"/>
    <d v="2025-03-26T00:00:00"/>
    <s v="M"/>
    <x v="2"/>
    <x v="0"/>
    <x v="0"/>
    <x v="17"/>
    <x v="5"/>
    <x v="11"/>
    <x v="1"/>
  </r>
  <r>
    <x v="2196"/>
    <x v="1"/>
    <x v="1"/>
    <n v="64.2"/>
    <n v="128.4"/>
    <x v="80"/>
    <d v="2025-03-23T00:00:00"/>
    <s v="F"/>
    <x v="0"/>
    <x v="1"/>
    <x v="0"/>
    <x v="17"/>
    <x v="3"/>
    <x v="11"/>
    <x v="2"/>
  </r>
  <r>
    <x v="2197"/>
    <x v="2"/>
    <x v="12"/>
    <n v="145.69999999999999"/>
    <n v="582.79999999999995"/>
    <x v="80"/>
    <d v="2025-03-23T00:00:00"/>
    <s v="F"/>
    <x v="0"/>
    <x v="4"/>
    <x v="0"/>
    <x v="17"/>
    <x v="3"/>
    <x v="11"/>
    <x v="2"/>
  </r>
  <r>
    <x v="2198"/>
    <x v="12"/>
    <x v="1"/>
    <n v="78.5"/>
    <n v="157"/>
    <x v="80"/>
    <d v="2025-03-23T00:00:00"/>
    <s v="M"/>
    <x v="2"/>
    <x v="0"/>
    <x v="0"/>
    <x v="26"/>
    <x v="3"/>
    <x v="11"/>
    <x v="1"/>
  </r>
  <r>
    <x v="2199"/>
    <x v="1"/>
    <x v="0"/>
    <n v="34.200000000000003"/>
    <n v="34.200000000000003"/>
    <x v="80"/>
    <d v="2025-03-24T00:00:00"/>
    <s v="M"/>
    <x v="0"/>
    <x v="0"/>
    <x v="0"/>
    <x v="9"/>
    <x v="1"/>
    <x v="11"/>
    <x v="1"/>
  </r>
  <r>
    <x v="2200"/>
    <x v="19"/>
    <x v="0"/>
    <n v="26.2"/>
    <n v="26.2"/>
    <x v="80"/>
    <d v="2025-03-23T00:00:00"/>
    <s v="M"/>
    <x v="2"/>
    <x v="0"/>
    <x v="0"/>
    <x v="9"/>
    <x v="3"/>
    <x v="11"/>
    <x v="1"/>
  </r>
  <r>
    <x v="2201"/>
    <x v="6"/>
    <x v="12"/>
    <n v="53.2"/>
    <n v="212.8"/>
    <x v="80"/>
    <d v="2025-03-23T00:00:00"/>
    <s v="M"/>
    <x v="1"/>
    <x v="1"/>
    <x v="0"/>
    <x v="11"/>
    <x v="3"/>
    <x v="11"/>
    <x v="1"/>
  </r>
  <r>
    <x v="2202"/>
    <x v="1"/>
    <x v="0"/>
    <n v="35.4"/>
    <n v="35.4"/>
    <x v="80"/>
    <d v="2025-03-26T00:00:00"/>
    <s v="M"/>
    <x v="1"/>
    <x v="4"/>
    <x v="0"/>
    <x v="18"/>
    <x v="5"/>
    <x v="11"/>
    <x v="1"/>
  </r>
  <r>
    <x v="2203"/>
    <x v="14"/>
    <x v="1"/>
    <n v="21.3"/>
    <n v="42.6"/>
    <x v="80"/>
    <d v="2025-03-23T00:00:00"/>
    <s v="M"/>
    <x v="2"/>
    <x v="0"/>
    <x v="0"/>
    <x v="20"/>
    <x v="3"/>
    <x v="11"/>
    <x v="1"/>
  </r>
  <r>
    <x v="2204"/>
    <x v="8"/>
    <x v="12"/>
    <n v="32.9"/>
    <n v="131.6"/>
    <x v="80"/>
    <d v="2025-03-25T00:00:00"/>
    <s v="F"/>
    <x v="4"/>
    <x v="2"/>
    <x v="0"/>
    <x v="21"/>
    <x v="2"/>
    <x v="11"/>
    <x v="2"/>
  </r>
  <r>
    <x v="2205"/>
    <x v="5"/>
    <x v="20"/>
    <n v="85.5"/>
    <n v="1282.5"/>
    <x v="80"/>
    <d v="2025-03-24T00:00:00"/>
    <s v="F"/>
    <x v="3"/>
    <x v="1"/>
    <x v="0"/>
    <x v="21"/>
    <x v="1"/>
    <x v="11"/>
    <x v="2"/>
  </r>
  <r>
    <x v="2206"/>
    <x v="4"/>
    <x v="0"/>
    <n v="26.8"/>
    <n v="26.8"/>
    <x v="80"/>
    <d v="2025-03-23T00:00:00"/>
    <s v="F"/>
    <x v="0"/>
    <x v="1"/>
    <x v="0"/>
    <x v="2"/>
    <x v="3"/>
    <x v="11"/>
    <x v="2"/>
  </r>
  <r>
    <x v="2207"/>
    <x v="9"/>
    <x v="18"/>
    <n v="31.7"/>
    <n v="824.19999999999993"/>
    <x v="80"/>
    <d v="2025-03-22T00:00:00"/>
    <s v="F"/>
    <x v="3"/>
    <x v="0"/>
    <x v="0"/>
    <x v="2"/>
    <x v="7"/>
    <x v="11"/>
    <x v="2"/>
  </r>
  <r>
    <x v="2208"/>
    <x v="1"/>
    <x v="1"/>
    <n v="78.3"/>
    <n v="156.6"/>
    <x v="80"/>
    <d v="2025-03-24T00:00:00"/>
    <s v="F"/>
    <x v="1"/>
    <x v="1"/>
    <x v="0"/>
    <x v="3"/>
    <x v="1"/>
    <x v="11"/>
    <x v="2"/>
  </r>
  <r>
    <x v="2209"/>
    <x v="6"/>
    <x v="0"/>
    <n v="43.9"/>
    <n v="43.9"/>
    <x v="80"/>
    <d v="2025-03-23T00:00:00"/>
    <s v="M"/>
    <x v="0"/>
    <x v="0"/>
    <x v="0"/>
    <x v="3"/>
    <x v="3"/>
    <x v="11"/>
    <x v="1"/>
  </r>
  <r>
    <x v="2210"/>
    <x v="18"/>
    <x v="2"/>
    <n v="84"/>
    <n v="252"/>
    <x v="80"/>
    <d v="2025-03-24T00:00:00"/>
    <s v=""/>
    <x v="3"/>
    <x v="2"/>
    <x v="0"/>
    <x v="3"/>
    <x v="1"/>
    <x v="11"/>
    <x v="0"/>
  </r>
  <r>
    <x v="2211"/>
    <x v="0"/>
    <x v="2"/>
    <n v="11.4"/>
    <n v="34.200000000000003"/>
    <x v="80"/>
    <d v="2025-03-23T00:00:00"/>
    <s v="M"/>
    <x v="4"/>
    <x v="0"/>
    <x v="0"/>
    <x v="3"/>
    <x v="3"/>
    <x v="11"/>
    <x v="1"/>
  </r>
  <r>
    <x v="2212"/>
    <x v="12"/>
    <x v="8"/>
    <n v="47.5"/>
    <n v="380"/>
    <x v="80"/>
    <d v="2025-03-30T00:00:00"/>
    <s v="F"/>
    <x v="0"/>
    <x v="0"/>
    <x v="0"/>
    <x v="3"/>
    <x v="9"/>
    <x v="11"/>
    <x v="2"/>
  </r>
  <r>
    <x v="2213"/>
    <x v="9"/>
    <x v="5"/>
    <n v="50.5"/>
    <n v="555.5"/>
    <x v="80"/>
    <d v="2025-03-24T00:00:00"/>
    <s v="M"/>
    <x v="2"/>
    <x v="0"/>
    <x v="0"/>
    <x v="3"/>
    <x v="1"/>
    <x v="11"/>
    <x v="1"/>
  </r>
  <r>
    <x v="2214"/>
    <x v="15"/>
    <x v="0"/>
    <n v="36.299999999999997"/>
    <n v="36.299999999999997"/>
    <x v="80"/>
    <d v="2025-03-25T00:00:00"/>
    <s v="O"/>
    <x v="0"/>
    <x v="1"/>
    <x v="0"/>
    <x v="8"/>
    <x v="2"/>
    <x v="11"/>
    <x v="3"/>
  </r>
  <r>
    <x v="2215"/>
    <x v="8"/>
    <x v="1"/>
    <n v="35.4"/>
    <n v="70.8"/>
    <x v="80"/>
    <d v="2025-03-23T00:00:00"/>
    <s v="F"/>
    <x v="0"/>
    <x v="0"/>
    <x v="0"/>
    <x v="17"/>
    <x v="3"/>
    <x v="11"/>
    <x v="2"/>
  </r>
  <r>
    <x v="2216"/>
    <x v="1"/>
    <x v="2"/>
    <n v="45.9"/>
    <n v="137.69999999999999"/>
    <x v="81"/>
    <d v="2025-03-24T00:00:00"/>
    <s v="M"/>
    <x v="3"/>
    <x v="0"/>
    <x v="0"/>
    <x v="9"/>
    <x v="3"/>
    <x v="12"/>
    <x v="1"/>
  </r>
  <r>
    <x v="2217"/>
    <x v="6"/>
    <x v="7"/>
    <n v="41.2"/>
    <n v="412"/>
    <x v="81"/>
    <d v="2025-03-27T00:00:00"/>
    <s v="M"/>
    <x v="0"/>
    <x v="0"/>
    <x v="0"/>
    <x v="11"/>
    <x v="5"/>
    <x v="12"/>
    <x v="1"/>
  </r>
  <r>
    <x v="2218"/>
    <x v="17"/>
    <x v="1"/>
    <n v="45.1"/>
    <n v="90.2"/>
    <x v="81"/>
    <d v="2025-03-24T00:00:00"/>
    <s v="M"/>
    <x v="1"/>
    <x v="1"/>
    <x v="0"/>
    <x v="21"/>
    <x v="3"/>
    <x v="12"/>
    <x v="1"/>
  </r>
  <r>
    <x v="2219"/>
    <x v="6"/>
    <x v="7"/>
    <n v="63.6"/>
    <n v="636"/>
    <x v="81"/>
    <d v="2025-03-23T00:00:00"/>
    <s v="M"/>
    <x v="2"/>
    <x v="0"/>
    <x v="0"/>
    <x v="1"/>
    <x v="7"/>
    <x v="12"/>
    <x v="1"/>
  </r>
  <r>
    <x v="2220"/>
    <x v="8"/>
    <x v="0"/>
    <n v="70.5"/>
    <n v="70.5"/>
    <x v="81"/>
    <d v="2025-03-24T00:00:00"/>
    <s v="M"/>
    <x v="0"/>
    <x v="0"/>
    <x v="0"/>
    <x v="3"/>
    <x v="3"/>
    <x v="12"/>
    <x v="1"/>
  </r>
  <r>
    <x v="2221"/>
    <x v="6"/>
    <x v="0"/>
    <n v="41.3"/>
    <n v="41.3"/>
    <x v="81"/>
    <d v="2025-03-23T00:00:00"/>
    <s v="M"/>
    <x v="4"/>
    <x v="0"/>
    <x v="0"/>
    <x v="3"/>
    <x v="7"/>
    <x v="12"/>
    <x v="1"/>
  </r>
  <r>
    <x v="2222"/>
    <x v="4"/>
    <x v="0"/>
    <n v="35.299999999999997"/>
    <n v="35.299999999999997"/>
    <x v="81"/>
    <d v="2025-03-26T00:00:00"/>
    <s v="F"/>
    <x v="4"/>
    <x v="2"/>
    <x v="0"/>
    <x v="3"/>
    <x v="2"/>
    <x v="12"/>
    <x v="2"/>
  </r>
  <r>
    <x v="2223"/>
    <x v="8"/>
    <x v="9"/>
    <n v="34.700000000000003"/>
    <n v="173.5"/>
    <x v="81"/>
    <d v="2025-03-24T00:00:00"/>
    <s v="F"/>
    <x v="0"/>
    <x v="2"/>
    <x v="0"/>
    <x v="3"/>
    <x v="3"/>
    <x v="12"/>
    <x v="2"/>
  </r>
  <r>
    <x v="2224"/>
    <x v="8"/>
    <x v="2"/>
    <n v="26.1"/>
    <n v="78.300000000000011"/>
    <x v="81"/>
    <d v="2025-03-24T00:00:00"/>
    <s v="F"/>
    <x v="0"/>
    <x v="0"/>
    <x v="0"/>
    <x v="3"/>
    <x v="3"/>
    <x v="12"/>
    <x v="2"/>
  </r>
  <r>
    <x v="2225"/>
    <x v="9"/>
    <x v="9"/>
    <n v="22.6"/>
    <n v="113"/>
    <x v="81"/>
    <d v="2025-03-23T00:00:00"/>
    <s v="F"/>
    <x v="1"/>
    <x v="2"/>
    <x v="0"/>
    <x v="3"/>
    <x v="7"/>
    <x v="12"/>
    <x v="2"/>
  </r>
  <r>
    <x v="2226"/>
    <x v="2"/>
    <x v="1"/>
    <n v="154.4"/>
    <n v="308.8"/>
    <x v="81"/>
    <d v="2025-03-26T00:00:00"/>
    <s v="M"/>
    <x v="1"/>
    <x v="1"/>
    <x v="0"/>
    <x v="3"/>
    <x v="2"/>
    <x v="12"/>
    <x v="1"/>
  </r>
  <r>
    <x v="2227"/>
    <x v="8"/>
    <x v="1"/>
    <n v="18.399999999999999"/>
    <n v="36.799999999999997"/>
    <x v="81"/>
    <d v="2025-03-24T00:00:00"/>
    <s v="M"/>
    <x v="0"/>
    <x v="0"/>
    <x v="0"/>
    <x v="3"/>
    <x v="3"/>
    <x v="12"/>
    <x v="1"/>
  </r>
  <r>
    <x v="2228"/>
    <x v="14"/>
    <x v="0"/>
    <n v="25"/>
    <n v="25"/>
    <x v="81"/>
    <d v="2025-03-26T00:00:00"/>
    <s v="F"/>
    <x v="0"/>
    <x v="0"/>
    <x v="0"/>
    <x v="3"/>
    <x v="2"/>
    <x v="12"/>
    <x v="2"/>
  </r>
  <r>
    <x v="2229"/>
    <x v="2"/>
    <x v="13"/>
    <n v="105.6"/>
    <n v="633.59999999999991"/>
    <x v="81"/>
    <d v="2025-03-23T00:00:00"/>
    <s v="F"/>
    <x v="0"/>
    <x v="0"/>
    <x v="0"/>
    <x v="3"/>
    <x v="7"/>
    <x v="12"/>
    <x v="2"/>
  </r>
  <r>
    <x v="2230"/>
    <x v="18"/>
    <x v="8"/>
    <n v="59.6"/>
    <n v="476.8"/>
    <x v="81"/>
    <d v="2025-03-23T00:00:00"/>
    <s v="F"/>
    <x v="0"/>
    <x v="2"/>
    <x v="0"/>
    <x v="23"/>
    <x v="7"/>
    <x v="12"/>
    <x v="2"/>
  </r>
  <r>
    <x v="2231"/>
    <x v="15"/>
    <x v="2"/>
    <n v="75.400000000000006"/>
    <n v="226.20000000000002"/>
    <x v="81"/>
    <d v="2025-03-28T00:00:00"/>
    <s v="M"/>
    <x v="0"/>
    <x v="1"/>
    <x v="0"/>
    <x v="7"/>
    <x v="0"/>
    <x v="12"/>
    <x v="1"/>
  </r>
  <r>
    <x v="2232"/>
    <x v="7"/>
    <x v="0"/>
    <n v="104.4"/>
    <n v="104.4"/>
    <x v="81"/>
    <d v="2025-03-24T00:00:00"/>
    <s v="F"/>
    <x v="0"/>
    <x v="0"/>
    <x v="0"/>
    <x v="8"/>
    <x v="3"/>
    <x v="12"/>
    <x v="2"/>
  </r>
  <r>
    <x v="2233"/>
    <x v="2"/>
    <x v="7"/>
    <n v="208.2"/>
    <n v="2082"/>
    <x v="81"/>
    <d v="2025-03-24T00:00:00"/>
    <s v="M"/>
    <x v="0"/>
    <x v="2"/>
    <x v="0"/>
    <x v="8"/>
    <x v="3"/>
    <x v="12"/>
    <x v="1"/>
  </r>
  <r>
    <x v="2234"/>
    <x v="6"/>
    <x v="1"/>
    <n v="45"/>
    <n v="90"/>
    <x v="81"/>
    <d v="2025-03-26T00:00:00"/>
    <s v="F"/>
    <x v="0"/>
    <x v="0"/>
    <x v="0"/>
    <x v="10"/>
    <x v="2"/>
    <x v="12"/>
    <x v="2"/>
  </r>
  <r>
    <x v="2235"/>
    <x v="15"/>
    <x v="1"/>
    <n v="20.3"/>
    <n v="40.6"/>
    <x v="82"/>
    <d v="2025-03-26T00:00:00"/>
    <s v=""/>
    <x v="1"/>
    <x v="0"/>
    <x v="0"/>
    <x v="11"/>
    <x v="1"/>
    <x v="12"/>
    <x v="0"/>
  </r>
  <r>
    <x v="2236"/>
    <x v="2"/>
    <x v="2"/>
    <n v="94.4"/>
    <n v="283.20000000000005"/>
    <x v="82"/>
    <d v="2025-03-25T00:00:00"/>
    <s v="F"/>
    <x v="0"/>
    <x v="2"/>
    <x v="0"/>
    <x v="11"/>
    <x v="3"/>
    <x v="12"/>
    <x v="2"/>
  </r>
  <r>
    <x v="2237"/>
    <x v="9"/>
    <x v="0"/>
    <n v="49"/>
    <n v="49"/>
    <x v="82"/>
    <d v="2025-03-26T00:00:00"/>
    <s v="F"/>
    <x v="0"/>
    <x v="2"/>
    <x v="0"/>
    <x v="20"/>
    <x v="1"/>
    <x v="12"/>
    <x v="2"/>
  </r>
  <r>
    <x v="2238"/>
    <x v="4"/>
    <x v="1"/>
    <n v="27.2"/>
    <n v="54.4"/>
    <x v="82"/>
    <d v="2025-03-26T00:00:00"/>
    <s v="M"/>
    <x v="0"/>
    <x v="2"/>
    <x v="0"/>
    <x v="1"/>
    <x v="1"/>
    <x v="12"/>
    <x v="1"/>
  </r>
  <r>
    <x v="2239"/>
    <x v="2"/>
    <x v="13"/>
    <n v="72.599999999999994"/>
    <n v="435.59999999999997"/>
    <x v="82"/>
    <d v="2025-03-25T00:00:00"/>
    <s v="F"/>
    <x v="0"/>
    <x v="2"/>
    <x v="0"/>
    <x v="2"/>
    <x v="3"/>
    <x v="12"/>
    <x v="2"/>
  </r>
  <r>
    <x v="2240"/>
    <x v="15"/>
    <x v="12"/>
    <n v="62.4"/>
    <n v="249.6"/>
    <x v="82"/>
    <d v="2025-03-25T00:00:00"/>
    <s v="F"/>
    <x v="0"/>
    <x v="0"/>
    <x v="0"/>
    <x v="3"/>
    <x v="3"/>
    <x v="12"/>
    <x v="2"/>
  </r>
  <r>
    <x v="2241"/>
    <x v="8"/>
    <x v="2"/>
    <n v="19.100000000000001"/>
    <n v="57.300000000000004"/>
    <x v="82"/>
    <d v="2025-03-26T00:00:00"/>
    <s v="M"/>
    <x v="0"/>
    <x v="1"/>
    <x v="0"/>
    <x v="3"/>
    <x v="1"/>
    <x v="12"/>
    <x v="1"/>
  </r>
  <r>
    <x v="2242"/>
    <x v="10"/>
    <x v="0"/>
    <n v="29.6"/>
    <n v="29.6"/>
    <x v="82"/>
    <d v="2025-03-28T00:00:00"/>
    <s v="M"/>
    <x v="0"/>
    <x v="4"/>
    <x v="0"/>
    <x v="3"/>
    <x v="5"/>
    <x v="12"/>
    <x v="1"/>
  </r>
  <r>
    <x v="2243"/>
    <x v="8"/>
    <x v="1"/>
    <n v="18.899999999999999"/>
    <n v="37.799999999999997"/>
    <x v="82"/>
    <d v="2025-03-26T00:00:00"/>
    <s v="F"/>
    <x v="4"/>
    <x v="2"/>
    <x v="0"/>
    <x v="3"/>
    <x v="1"/>
    <x v="12"/>
    <x v="2"/>
  </r>
  <r>
    <x v="2244"/>
    <x v="10"/>
    <x v="9"/>
    <n v="41.4"/>
    <n v="207"/>
    <x v="82"/>
    <d v="2025-03-25T00:00:00"/>
    <s v="M"/>
    <x v="3"/>
    <x v="0"/>
    <x v="0"/>
    <x v="3"/>
    <x v="3"/>
    <x v="12"/>
    <x v="1"/>
  </r>
  <r>
    <x v="2245"/>
    <x v="2"/>
    <x v="0"/>
    <n v="118.4"/>
    <n v="118.4"/>
    <x v="82"/>
    <d v="2025-03-25T00:00:00"/>
    <s v="F"/>
    <x v="0"/>
    <x v="2"/>
    <x v="0"/>
    <x v="3"/>
    <x v="3"/>
    <x v="12"/>
    <x v="2"/>
  </r>
  <r>
    <x v="2246"/>
    <x v="2"/>
    <x v="1"/>
    <n v="125.3"/>
    <n v="250.6"/>
    <x v="82"/>
    <d v="2025-03-27T00:00:00"/>
    <s v="F"/>
    <x v="0"/>
    <x v="2"/>
    <x v="0"/>
    <x v="3"/>
    <x v="2"/>
    <x v="12"/>
    <x v="2"/>
  </r>
  <r>
    <x v="2247"/>
    <x v="3"/>
    <x v="1"/>
    <n v="85.8"/>
    <n v="171.6"/>
    <x v="82"/>
    <d v="2025-03-25T00:00:00"/>
    <s v="F"/>
    <x v="1"/>
    <x v="4"/>
    <x v="0"/>
    <x v="3"/>
    <x v="3"/>
    <x v="12"/>
    <x v="2"/>
  </r>
  <r>
    <x v="2248"/>
    <x v="6"/>
    <x v="0"/>
    <n v="44.2"/>
    <n v="44.2"/>
    <x v="82"/>
    <d v="2025-03-27T00:00:00"/>
    <s v="M"/>
    <x v="1"/>
    <x v="0"/>
    <x v="0"/>
    <x v="3"/>
    <x v="2"/>
    <x v="12"/>
    <x v="1"/>
  </r>
  <r>
    <x v="2249"/>
    <x v="5"/>
    <x v="12"/>
    <n v="74.099999999999994"/>
    <n v="296.39999999999998"/>
    <x v="82"/>
    <d v="2025-03-26T00:00:00"/>
    <s v="F"/>
    <x v="0"/>
    <x v="0"/>
    <x v="0"/>
    <x v="3"/>
    <x v="1"/>
    <x v="12"/>
    <x v="2"/>
  </r>
  <r>
    <x v="2250"/>
    <x v="8"/>
    <x v="0"/>
    <n v="33.799999999999997"/>
    <n v="33.799999999999997"/>
    <x v="82"/>
    <d v="2025-03-25T00:00:00"/>
    <s v="F"/>
    <x v="2"/>
    <x v="2"/>
    <x v="0"/>
    <x v="24"/>
    <x v="3"/>
    <x v="12"/>
    <x v="2"/>
  </r>
  <r>
    <x v="2251"/>
    <x v="1"/>
    <x v="1"/>
    <n v="39.1"/>
    <n v="78.2"/>
    <x v="82"/>
    <d v="2025-03-25T00:00:00"/>
    <s v="M"/>
    <x v="0"/>
    <x v="1"/>
    <x v="0"/>
    <x v="24"/>
    <x v="3"/>
    <x v="12"/>
    <x v="1"/>
  </r>
  <r>
    <x v="2252"/>
    <x v="0"/>
    <x v="0"/>
    <n v="37.200000000000003"/>
    <n v="37.200000000000003"/>
    <x v="82"/>
    <d v="2025-03-25T00:00:00"/>
    <s v="M"/>
    <x v="0"/>
    <x v="1"/>
    <x v="0"/>
    <x v="16"/>
    <x v="3"/>
    <x v="12"/>
    <x v="1"/>
  </r>
  <r>
    <x v="2253"/>
    <x v="15"/>
    <x v="2"/>
    <n v="33.9"/>
    <n v="101.69999999999999"/>
    <x v="82"/>
    <d v="2025-03-26T00:00:00"/>
    <s v="M"/>
    <x v="2"/>
    <x v="0"/>
    <x v="0"/>
    <x v="6"/>
    <x v="1"/>
    <x v="12"/>
    <x v="1"/>
  </r>
  <r>
    <x v="2254"/>
    <x v="7"/>
    <x v="20"/>
    <n v="73.3"/>
    <n v="1099.5"/>
    <x v="82"/>
    <d v="2025-03-27T00:00:00"/>
    <s v="F"/>
    <x v="2"/>
    <x v="1"/>
    <x v="0"/>
    <x v="8"/>
    <x v="2"/>
    <x v="12"/>
    <x v="2"/>
  </r>
  <r>
    <x v="2255"/>
    <x v="8"/>
    <x v="12"/>
    <n v="35"/>
    <n v="140"/>
    <x v="82"/>
    <d v="2025-03-26T00:00:00"/>
    <s v="F"/>
    <x v="1"/>
    <x v="0"/>
    <x v="0"/>
    <x v="8"/>
    <x v="1"/>
    <x v="12"/>
    <x v="2"/>
  </r>
  <r>
    <x v="2256"/>
    <x v="0"/>
    <x v="2"/>
    <n v="22.2"/>
    <n v="66.599999999999994"/>
    <x v="82"/>
    <d v="2025-03-25T00:00:00"/>
    <s v="M"/>
    <x v="1"/>
    <x v="0"/>
    <x v="0"/>
    <x v="17"/>
    <x v="3"/>
    <x v="12"/>
    <x v="1"/>
  </r>
  <r>
    <x v="2257"/>
    <x v="10"/>
    <x v="0"/>
    <n v="32.4"/>
    <n v="32.4"/>
    <x v="82"/>
    <d v="2025-03-25T00:00:00"/>
    <s v="F"/>
    <x v="0"/>
    <x v="0"/>
    <x v="0"/>
    <x v="11"/>
    <x v="3"/>
    <x v="12"/>
    <x v="2"/>
  </r>
  <r>
    <x v="2258"/>
    <x v="5"/>
    <x v="2"/>
    <n v="88.4"/>
    <n v="265.20000000000005"/>
    <x v="83"/>
    <d v="2025-03-27T00:00:00"/>
    <s v="F"/>
    <x v="1"/>
    <x v="1"/>
    <x v="0"/>
    <x v="11"/>
    <x v="1"/>
    <x v="12"/>
    <x v="2"/>
  </r>
  <r>
    <x v="2259"/>
    <x v="5"/>
    <x v="27"/>
    <n v="30.5"/>
    <n v="488"/>
    <x v="83"/>
    <d v="2025-03-26T00:00:00"/>
    <s v="F"/>
    <x v="2"/>
    <x v="0"/>
    <x v="0"/>
    <x v="11"/>
    <x v="3"/>
    <x v="12"/>
    <x v="2"/>
  </r>
  <r>
    <x v="2260"/>
    <x v="1"/>
    <x v="13"/>
    <n v="38.1"/>
    <n v="228.60000000000002"/>
    <x v="83"/>
    <d v="2025-03-27T00:00:00"/>
    <s v="F"/>
    <x v="0"/>
    <x v="1"/>
    <x v="0"/>
    <x v="11"/>
    <x v="1"/>
    <x v="12"/>
    <x v="2"/>
  </r>
  <r>
    <x v="2261"/>
    <x v="10"/>
    <x v="9"/>
    <n v="37.6"/>
    <n v="188"/>
    <x v="83"/>
    <d v="2025-03-29T00:00:00"/>
    <s v="M"/>
    <x v="0"/>
    <x v="0"/>
    <x v="0"/>
    <x v="11"/>
    <x v="5"/>
    <x v="12"/>
    <x v="1"/>
  </r>
  <r>
    <x v="2262"/>
    <x v="15"/>
    <x v="1"/>
    <n v="31.4"/>
    <n v="62.8"/>
    <x v="83"/>
    <d v="2025-03-26T00:00:00"/>
    <s v="M"/>
    <x v="0"/>
    <x v="2"/>
    <x v="0"/>
    <x v="11"/>
    <x v="3"/>
    <x v="12"/>
    <x v="1"/>
  </r>
  <r>
    <x v="2263"/>
    <x v="6"/>
    <x v="1"/>
    <n v="61.5"/>
    <n v="123"/>
    <x v="83"/>
    <d v="2025-03-26T00:00:00"/>
    <s v="M"/>
    <x v="3"/>
    <x v="0"/>
    <x v="0"/>
    <x v="31"/>
    <x v="3"/>
    <x v="12"/>
    <x v="1"/>
  </r>
  <r>
    <x v="2264"/>
    <x v="6"/>
    <x v="0"/>
    <n v="72.599999999999994"/>
    <n v="72.599999999999994"/>
    <x v="83"/>
    <d v="2025-03-26T00:00:00"/>
    <s v="M"/>
    <x v="0"/>
    <x v="1"/>
    <x v="0"/>
    <x v="21"/>
    <x v="3"/>
    <x v="12"/>
    <x v="1"/>
  </r>
  <r>
    <x v="2265"/>
    <x v="9"/>
    <x v="2"/>
    <n v="26.9"/>
    <n v="80.699999999999989"/>
    <x v="83"/>
    <d v="2025-03-30T00:00:00"/>
    <s v="O"/>
    <x v="4"/>
    <x v="1"/>
    <x v="0"/>
    <x v="46"/>
    <x v="0"/>
    <x v="12"/>
    <x v="3"/>
  </r>
  <r>
    <x v="2266"/>
    <x v="17"/>
    <x v="4"/>
    <n v="29.4"/>
    <n v="352.79999999999995"/>
    <x v="83"/>
    <d v="2025-03-26T00:00:00"/>
    <s v="F"/>
    <x v="1"/>
    <x v="0"/>
    <x v="0"/>
    <x v="51"/>
    <x v="3"/>
    <x v="12"/>
    <x v="2"/>
  </r>
  <r>
    <x v="2267"/>
    <x v="17"/>
    <x v="1"/>
    <n v="42.1"/>
    <n v="84.2"/>
    <x v="83"/>
    <d v="2025-03-26T00:00:00"/>
    <s v="F"/>
    <x v="3"/>
    <x v="1"/>
    <x v="0"/>
    <x v="1"/>
    <x v="3"/>
    <x v="12"/>
    <x v="2"/>
  </r>
  <r>
    <x v="2268"/>
    <x v="5"/>
    <x v="0"/>
    <n v="40.5"/>
    <n v="40.5"/>
    <x v="83"/>
    <d v="2025-03-26T00:00:00"/>
    <s v="F"/>
    <x v="2"/>
    <x v="1"/>
    <x v="0"/>
    <x v="1"/>
    <x v="3"/>
    <x v="12"/>
    <x v="2"/>
  </r>
  <r>
    <x v="2269"/>
    <x v="2"/>
    <x v="12"/>
    <n v="182.3"/>
    <n v="729.2"/>
    <x v="83"/>
    <d v="2025-03-26T00:00:00"/>
    <s v="F"/>
    <x v="1"/>
    <x v="0"/>
    <x v="0"/>
    <x v="1"/>
    <x v="3"/>
    <x v="12"/>
    <x v="2"/>
  </r>
  <r>
    <x v="2270"/>
    <x v="2"/>
    <x v="9"/>
    <n v="157"/>
    <n v="785"/>
    <x v="83"/>
    <d v="2025-03-28T00:00:00"/>
    <s v="F"/>
    <x v="1"/>
    <x v="2"/>
    <x v="0"/>
    <x v="2"/>
    <x v="2"/>
    <x v="12"/>
    <x v="2"/>
  </r>
  <r>
    <x v="2271"/>
    <x v="17"/>
    <x v="9"/>
    <n v="45.2"/>
    <n v="226"/>
    <x v="83"/>
    <d v="2025-03-28T00:00:00"/>
    <s v="F"/>
    <x v="1"/>
    <x v="0"/>
    <x v="0"/>
    <x v="22"/>
    <x v="2"/>
    <x v="12"/>
    <x v="2"/>
  </r>
  <r>
    <x v="2272"/>
    <x v="15"/>
    <x v="12"/>
    <n v="27.4"/>
    <n v="109.6"/>
    <x v="83"/>
    <d v="2025-03-27T00:00:00"/>
    <s v="F"/>
    <x v="0"/>
    <x v="0"/>
    <x v="0"/>
    <x v="3"/>
    <x v="1"/>
    <x v="12"/>
    <x v="2"/>
  </r>
  <r>
    <x v="2273"/>
    <x v="5"/>
    <x v="9"/>
    <n v="34.1"/>
    <n v="170.5"/>
    <x v="83"/>
    <d v="2025-03-27T00:00:00"/>
    <s v="M"/>
    <x v="0"/>
    <x v="2"/>
    <x v="0"/>
    <x v="3"/>
    <x v="1"/>
    <x v="12"/>
    <x v="1"/>
  </r>
  <r>
    <x v="2274"/>
    <x v="0"/>
    <x v="1"/>
    <n v="26"/>
    <n v="52"/>
    <x v="83"/>
    <d v="2025-03-27T00:00:00"/>
    <s v="M"/>
    <x v="2"/>
    <x v="1"/>
    <x v="0"/>
    <x v="3"/>
    <x v="1"/>
    <x v="12"/>
    <x v="1"/>
  </r>
  <r>
    <x v="2275"/>
    <x v="8"/>
    <x v="3"/>
    <n v="19.399999999999999"/>
    <n v="135.79999999999998"/>
    <x v="83"/>
    <d v="2025-03-27T00:00:00"/>
    <s v=""/>
    <x v="1"/>
    <x v="1"/>
    <x v="0"/>
    <x v="3"/>
    <x v="1"/>
    <x v="12"/>
    <x v="0"/>
  </r>
  <r>
    <x v="2276"/>
    <x v="16"/>
    <x v="2"/>
    <n v="30.3"/>
    <n v="90.9"/>
    <x v="83"/>
    <d v="2025-03-28T00:00:00"/>
    <s v="F"/>
    <x v="1"/>
    <x v="2"/>
    <x v="0"/>
    <x v="3"/>
    <x v="2"/>
    <x v="12"/>
    <x v="2"/>
  </r>
  <r>
    <x v="2277"/>
    <x v="2"/>
    <x v="2"/>
    <n v="101.4"/>
    <n v="304.20000000000005"/>
    <x v="83"/>
    <d v="2025-03-26T00:00:00"/>
    <s v="M"/>
    <x v="0"/>
    <x v="0"/>
    <x v="0"/>
    <x v="3"/>
    <x v="3"/>
    <x v="12"/>
    <x v="1"/>
  </r>
  <r>
    <x v="2278"/>
    <x v="3"/>
    <x v="9"/>
    <n v="55.5"/>
    <n v="277.5"/>
    <x v="83"/>
    <d v="2025-03-28T00:00:00"/>
    <s v="M"/>
    <x v="1"/>
    <x v="0"/>
    <x v="0"/>
    <x v="24"/>
    <x v="2"/>
    <x v="12"/>
    <x v="1"/>
  </r>
  <r>
    <x v="2279"/>
    <x v="8"/>
    <x v="0"/>
    <n v="23.1"/>
    <n v="23.1"/>
    <x v="83"/>
    <d v="2025-03-26T00:00:00"/>
    <s v="M"/>
    <x v="0"/>
    <x v="0"/>
    <x v="0"/>
    <x v="25"/>
    <x v="3"/>
    <x v="12"/>
    <x v="1"/>
  </r>
  <r>
    <x v="2280"/>
    <x v="18"/>
    <x v="1"/>
    <n v="38.9"/>
    <n v="77.8"/>
    <x v="83"/>
    <d v="2025-03-26T00:00:00"/>
    <s v="M"/>
    <x v="2"/>
    <x v="0"/>
    <x v="0"/>
    <x v="25"/>
    <x v="3"/>
    <x v="12"/>
    <x v="1"/>
  </r>
  <r>
    <x v="2281"/>
    <x v="6"/>
    <x v="11"/>
    <n v="116.3"/>
    <n v="1046.7"/>
    <x v="83"/>
    <d v="2025-03-29T00:00:00"/>
    <s v="F"/>
    <x v="0"/>
    <x v="0"/>
    <x v="0"/>
    <x v="5"/>
    <x v="5"/>
    <x v="12"/>
    <x v="2"/>
  </r>
  <r>
    <x v="2282"/>
    <x v="16"/>
    <x v="11"/>
    <n v="64.099999999999994"/>
    <n v="576.9"/>
    <x v="83"/>
    <d v="2025-03-25T00:00:00"/>
    <s v="F"/>
    <x v="0"/>
    <x v="2"/>
    <x v="0"/>
    <x v="6"/>
    <x v="7"/>
    <x v="12"/>
    <x v="2"/>
  </r>
  <r>
    <x v="2283"/>
    <x v="2"/>
    <x v="13"/>
    <n v="109.2"/>
    <n v="655.20000000000005"/>
    <x v="83"/>
    <d v="2025-03-27T00:00:00"/>
    <s v="M"/>
    <x v="0"/>
    <x v="1"/>
    <x v="0"/>
    <x v="8"/>
    <x v="1"/>
    <x v="12"/>
    <x v="1"/>
  </r>
  <r>
    <x v="2284"/>
    <x v="10"/>
    <x v="9"/>
    <n v="23.2"/>
    <n v="116"/>
    <x v="84"/>
    <d v="2025-03-27T00:00:00"/>
    <s v="M"/>
    <x v="0"/>
    <x v="1"/>
    <x v="0"/>
    <x v="8"/>
    <x v="3"/>
    <x v="12"/>
    <x v="1"/>
  </r>
  <r>
    <x v="2285"/>
    <x v="18"/>
    <x v="13"/>
    <n v="81.2"/>
    <n v="487.20000000000005"/>
    <x v="84"/>
    <d v="2025-03-28T00:00:00"/>
    <s v="M"/>
    <x v="2"/>
    <x v="2"/>
    <x v="0"/>
    <x v="8"/>
    <x v="1"/>
    <x v="12"/>
    <x v="1"/>
  </r>
  <r>
    <x v="2286"/>
    <x v="1"/>
    <x v="21"/>
    <n v="35.700000000000003"/>
    <n v="499.80000000000007"/>
    <x v="84"/>
    <d v="2025-03-27T00:00:00"/>
    <s v="M"/>
    <x v="3"/>
    <x v="0"/>
    <x v="0"/>
    <x v="8"/>
    <x v="3"/>
    <x v="12"/>
    <x v="1"/>
  </r>
  <r>
    <x v="2287"/>
    <x v="7"/>
    <x v="1"/>
    <n v="44.5"/>
    <n v="89"/>
    <x v="84"/>
    <d v="2025-03-29T00:00:00"/>
    <s v="M"/>
    <x v="4"/>
    <x v="0"/>
    <x v="0"/>
    <x v="9"/>
    <x v="2"/>
    <x v="12"/>
    <x v="1"/>
  </r>
  <r>
    <x v="2288"/>
    <x v="1"/>
    <x v="9"/>
    <n v="32"/>
    <n v="160"/>
    <x v="84"/>
    <d v="2025-03-28T00:00:00"/>
    <s v="O"/>
    <x v="1"/>
    <x v="1"/>
    <x v="0"/>
    <x v="9"/>
    <x v="1"/>
    <x v="12"/>
    <x v="3"/>
  </r>
  <r>
    <x v="2289"/>
    <x v="8"/>
    <x v="0"/>
    <n v="25.7"/>
    <n v="25.7"/>
    <x v="84"/>
    <d v="2025-03-27T00:00:00"/>
    <s v="M"/>
    <x v="0"/>
    <x v="0"/>
    <x v="0"/>
    <x v="10"/>
    <x v="3"/>
    <x v="12"/>
    <x v="1"/>
  </r>
  <r>
    <x v="2290"/>
    <x v="16"/>
    <x v="2"/>
    <n v="65.599999999999994"/>
    <n v="196.79999999999998"/>
    <x v="84"/>
    <d v="2025-04-01T00:00:00"/>
    <s v="M"/>
    <x v="0"/>
    <x v="0"/>
    <x v="0"/>
    <x v="11"/>
    <x v="4"/>
    <x v="12"/>
    <x v="1"/>
  </r>
  <r>
    <x v="2291"/>
    <x v="1"/>
    <x v="12"/>
    <n v="52.1"/>
    <n v="208.4"/>
    <x v="84"/>
    <d v="2025-03-27T00:00:00"/>
    <s v="F"/>
    <x v="0"/>
    <x v="2"/>
    <x v="0"/>
    <x v="11"/>
    <x v="3"/>
    <x v="12"/>
    <x v="2"/>
  </r>
  <r>
    <x v="2292"/>
    <x v="8"/>
    <x v="0"/>
    <n v="31"/>
    <n v="31"/>
    <x v="84"/>
    <d v="2025-03-27T00:00:00"/>
    <s v="M"/>
    <x v="0"/>
    <x v="1"/>
    <x v="0"/>
    <x v="19"/>
    <x v="3"/>
    <x v="12"/>
    <x v="1"/>
  </r>
  <r>
    <x v="2293"/>
    <x v="8"/>
    <x v="0"/>
    <n v="32"/>
    <n v="32"/>
    <x v="84"/>
    <d v="2025-03-28T00:00:00"/>
    <s v="O"/>
    <x v="3"/>
    <x v="1"/>
    <x v="0"/>
    <x v="31"/>
    <x v="1"/>
    <x v="12"/>
    <x v="3"/>
  </r>
  <r>
    <x v="2294"/>
    <x v="16"/>
    <x v="12"/>
    <n v="58.3"/>
    <n v="233.2"/>
    <x v="84"/>
    <d v="2025-03-30T00:00:00"/>
    <s v="M"/>
    <x v="1"/>
    <x v="4"/>
    <x v="0"/>
    <x v="20"/>
    <x v="5"/>
    <x v="12"/>
    <x v="1"/>
  </r>
  <r>
    <x v="2295"/>
    <x v="8"/>
    <x v="2"/>
    <n v="31"/>
    <n v="93"/>
    <x v="84"/>
    <d v="2025-03-28T00:00:00"/>
    <s v="F"/>
    <x v="2"/>
    <x v="4"/>
    <x v="0"/>
    <x v="13"/>
    <x v="1"/>
    <x v="12"/>
    <x v="2"/>
  </r>
  <r>
    <x v="2296"/>
    <x v="3"/>
    <x v="0"/>
    <n v="40.299999999999997"/>
    <n v="40.299999999999997"/>
    <x v="84"/>
    <d v="2025-03-27T00:00:00"/>
    <s v="M"/>
    <x v="1"/>
    <x v="2"/>
    <x v="0"/>
    <x v="54"/>
    <x v="3"/>
    <x v="12"/>
    <x v="1"/>
  </r>
  <r>
    <x v="2297"/>
    <x v="6"/>
    <x v="2"/>
    <n v="47.3"/>
    <n v="141.89999999999998"/>
    <x v="84"/>
    <d v="2025-03-28T00:00:00"/>
    <s v="M"/>
    <x v="4"/>
    <x v="2"/>
    <x v="0"/>
    <x v="2"/>
    <x v="1"/>
    <x v="12"/>
    <x v="1"/>
  </r>
  <r>
    <x v="2298"/>
    <x v="2"/>
    <x v="0"/>
    <n v="82.8"/>
    <n v="82.8"/>
    <x v="84"/>
    <d v="2025-03-27T00:00:00"/>
    <s v="M"/>
    <x v="0"/>
    <x v="0"/>
    <x v="0"/>
    <x v="2"/>
    <x v="3"/>
    <x v="12"/>
    <x v="1"/>
  </r>
  <r>
    <x v="2299"/>
    <x v="8"/>
    <x v="0"/>
    <n v="18.5"/>
    <n v="18.5"/>
    <x v="84"/>
    <d v="2025-04-09T00:00:00"/>
    <s v="F"/>
    <x v="0"/>
    <x v="0"/>
    <x v="0"/>
    <x v="44"/>
    <x v="12"/>
    <x v="12"/>
    <x v="2"/>
  </r>
  <r>
    <x v="2300"/>
    <x v="3"/>
    <x v="1"/>
    <n v="60.4"/>
    <n v="120.8"/>
    <x v="84"/>
    <d v="2025-03-27T00:00:00"/>
    <s v="M"/>
    <x v="2"/>
    <x v="0"/>
    <x v="0"/>
    <x v="22"/>
    <x v="3"/>
    <x v="12"/>
    <x v="1"/>
  </r>
  <r>
    <x v="2301"/>
    <x v="6"/>
    <x v="9"/>
    <n v="80.2"/>
    <n v="401"/>
    <x v="84"/>
    <d v="2025-04-02T00:00:00"/>
    <s v="M"/>
    <x v="1"/>
    <x v="1"/>
    <x v="0"/>
    <x v="50"/>
    <x v="6"/>
    <x v="12"/>
    <x v="1"/>
  </r>
  <r>
    <x v="2302"/>
    <x v="4"/>
    <x v="0"/>
    <n v="41.5"/>
    <n v="41.5"/>
    <x v="84"/>
    <d v="2025-03-28T00:00:00"/>
    <s v="M"/>
    <x v="2"/>
    <x v="0"/>
    <x v="0"/>
    <x v="3"/>
    <x v="1"/>
    <x v="12"/>
    <x v="1"/>
  </r>
  <r>
    <x v="2303"/>
    <x v="2"/>
    <x v="1"/>
    <n v="83.9"/>
    <n v="167.8"/>
    <x v="84"/>
    <d v="2025-03-29T00:00:00"/>
    <s v="F"/>
    <x v="0"/>
    <x v="0"/>
    <x v="0"/>
    <x v="3"/>
    <x v="2"/>
    <x v="12"/>
    <x v="2"/>
  </r>
  <r>
    <x v="2304"/>
    <x v="8"/>
    <x v="1"/>
    <n v="16.7"/>
    <n v="33.4"/>
    <x v="84"/>
    <d v="2025-03-30T00:00:00"/>
    <s v="F"/>
    <x v="0"/>
    <x v="1"/>
    <x v="0"/>
    <x v="3"/>
    <x v="5"/>
    <x v="12"/>
    <x v="2"/>
  </r>
  <r>
    <x v="2305"/>
    <x v="9"/>
    <x v="1"/>
    <n v="72.900000000000006"/>
    <n v="145.80000000000001"/>
    <x v="84"/>
    <d v="2025-03-27T00:00:00"/>
    <s v="M"/>
    <x v="2"/>
    <x v="1"/>
    <x v="0"/>
    <x v="3"/>
    <x v="3"/>
    <x v="12"/>
    <x v="1"/>
  </r>
  <r>
    <x v="2306"/>
    <x v="5"/>
    <x v="1"/>
    <n v="50.2"/>
    <n v="100.4"/>
    <x v="84"/>
    <d v="2025-03-28T00:00:00"/>
    <s v="F"/>
    <x v="1"/>
    <x v="2"/>
    <x v="0"/>
    <x v="3"/>
    <x v="1"/>
    <x v="12"/>
    <x v="2"/>
  </r>
  <r>
    <x v="2307"/>
    <x v="3"/>
    <x v="1"/>
    <n v="34.200000000000003"/>
    <n v="68.400000000000006"/>
    <x v="84"/>
    <d v="2025-04-05T00:00:00"/>
    <s v=""/>
    <x v="1"/>
    <x v="0"/>
    <x v="0"/>
    <x v="3"/>
    <x v="14"/>
    <x v="12"/>
    <x v="0"/>
  </r>
  <r>
    <x v="2308"/>
    <x v="5"/>
    <x v="1"/>
    <n v="107.9"/>
    <n v="215.8"/>
    <x v="84"/>
    <d v="2025-03-26T00:00:00"/>
    <s v="M"/>
    <x v="1"/>
    <x v="4"/>
    <x v="0"/>
    <x v="3"/>
    <x v="7"/>
    <x v="12"/>
    <x v="1"/>
  </r>
  <r>
    <x v="2309"/>
    <x v="0"/>
    <x v="2"/>
    <n v="17.5"/>
    <n v="52.5"/>
    <x v="84"/>
    <d v="2025-03-28T00:00:00"/>
    <s v="M"/>
    <x v="4"/>
    <x v="0"/>
    <x v="0"/>
    <x v="3"/>
    <x v="1"/>
    <x v="12"/>
    <x v="1"/>
  </r>
  <r>
    <x v="2310"/>
    <x v="13"/>
    <x v="20"/>
    <n v="44.7"/>
    <n v="670.5"/>
    <x v="84"/>
    <d v="2025-03-27T00:00:00"/>
    <s v="M"/>
    <x v="0"/>
    <x v="1"/>
    <x v="0"/>
    <x v="3"/>
    <x v="3"/>
    <x v="12"/>
    <x v="1"/>
  </r>
  <r>
    <x v="2311"/>
    <x v="12"/>
    <x v="13"/>
    <n v="92.7"/>
    <n v="556.20000000000005"/>
    <x v="84"/>
    <d v="2025-03-28T00:00:00"/>
    <s v="F"/>
    <x v="2"/>
    <x v="1"/>
    <x v="0"/>
    <x v="3"/>
    <x v="1"/>
    <x v="12"/>
    <x v="2"/>
  </r>
  <r>
    <x v="2312"/>
    <x v="7"/>
    <x v="2"/>
    <n v="48.8"/>
    <n v="146.39999999999998"/>
    <x v="84"/>
    <d v="2025-03-28T00:00:00"/>
    <s v="F"/>
    <x v="2"/>
    <x v="0"/>
    <x v="0"/>
    <x v="3"/>
    <x v="1"/>
    <x v="12"/>
    <x v="2"/>
  </r>
  <r>
    <x v="2313"/>
    <x v="4"/>
    <x v="27"/>
    <n v="21.3"/>
    <n v="340.8"/>
    <x v="84"/>
    <d v="2025-03-30T00:00:00"/>
    <s v="F"/>
    <x v="3"/>
    <x v="3"/>
    <x v="0"/>
    <x v="3"/>
    <x v="5"/>
    <x v="12"/>
    <x v="2"/>
  </r>
  <r>
    <x v="2314"/>
    <x v="16"/>
    <x v="0"/>
    <n v="52.5"/>
    <n v="52.5"/>
    <x v="84"/>
    <d v="2025-03-27T00:00:00"/>
    <s v="F"/>
    <x v="0"/>
    <x v="0"/>
    <x v="0"/>
    <x v="3"/>
    <x v="3"/>
    <x v="12"/>
    <x v="2"/>
  </r>
  <r>
    <x v="2315"/>
    <x v="1"/>
    <x v="1"/>
    <n v="92.4"/>
    <n v="184.8"/>
    <x v="84"/>
    <d v="2025-04-01T00:00:00"/>
    <s v="F"/>
    <x v="0"/>
    <x v="2"/>
    <x v="0"/>
    <x v="3"/>
    <x v="4"/>
    <x v="12"/>
    <x v="2"/>
  </r>
  <r>
    <x v="2316"/>
    <x v="4"/>
    <x v="5"/>
    <n v="58.3"/>
    <n v="641.29999999999995"/>
    <x v="84"/>
    <d v="2025-03-28T00:00:00"/>
    <s v="M"/>
    <x v="1"/>
    <x v="2"/>
    <x v="0"/>
    <x v="3"/>
    <x v="1"/>
    <x v="12"/>
    <x v="1"/>
  </r>
  <r>
    <x v="2317"/>
    <x v="6"/>
    <x v="44"/>
    <n v="152.6"/>
    <n v="3509.7999999999997"/>
    <x v="85"/>
    <d v="2025-03-29T00:00:00"/>
    <s v=""/>
    <x v="0"/>
    <x v="0"/>
    <x v="0"/>
    <x v="3"/>
    <x v="1"/>
    <x v="12"/>
    <x v="0"/>
  </r>
  <r>
    <x v="2318"/>
    <x v="8"/>
    <x v="1"/>
    <n v="26"/>
    <n v="52"/>
    <x v="85"/>
    <d v="2025-03-27T00:00:00"/>
    <s v=""/>
    <x v="0"/>
    <x v="1"/>
    <x v="0"/>
    <x v="3"/>
    <x v="7"/>
    <x v="12"/>
    <x v="0"/>
  </r>
  <r>
    <x v="2319"/>
    <x v="1"/>
    <x v="12"/>
    <n v="33.1"/>
    <n v="132.4"/>
    <x v="85"/>
    <d v="2025-03-27T00:00:00"/>
    <s v="M"/>
    <x v="2"/>
    <x v="4"/>
    <x v="0"/>
    <x v="5"/>
    <x v="7"/>
    <x v="12"/>
    <x v="1"/>
  </r>
  <r>
    <x v="2320"/>
    <x v="18"/>
    <x v="0"/>
    <n v="51.4"/>
    <n v="51.4"/>
    <x v="85"/>
    <d v="2025-03-29T00:00:00"/>
    <s v="F"/>
    <x v="1"/>
    <x v="1"/>
    <x v="0"/>
    <x v="5"/>
    <x v="1"/>
    <x v="12"/>
    <x v="2"/>
  </r>
  <r>
    <x v="2321"/>
    <x v="8"/>
    <x v="1"/>
    <n v="30.2"/>
    <n v="60.4"/>
    <x v="85"/>
    <d v="2025-03-28T00:00:00"/>
    <s v="F"/>
    <x v="2"/>
    <x v="2"/>
    <x v="0"/>
    <x v="6"/>
    <x v="3"/>
    <x v="12"/>
    <x v="2"/>
  </r>
  <r>
    <x v="2322"/>
    <x v="2"/>
    <x v="13"/>
    <n v="97"/>
    <n v="582"/>
    <x v="85"/>
    <d v="2025-03-31T00:00:00"/>
    <s v="F"/>
    <x v="0"/>
    <x v="2"/>
    <x v="0"/>
    <x v="7"/>
    <x v="5"/>
    <x v="12"/>
    <x v="2"/>
  </r>
  <r>
    <x v="2323"/>
    <x v="2"/>
    <x v="0"/>
    <n v="76.900000000000006"/>
    <n v="76.900000000000006"/>
    <x v="85"/>
    <d v="2025-03-28T00:00:00"/>
    <s v="M"/>
    <x v="1"/>
    <x v="2"/>
    <x v="0"/>
    <x v="8"/>
    <x v="3"/>
    <x v="12"/>
    <x v="1"/>
  </r>
  <r>
    <x v="2324"/>
    <x v="7"/>
    <x v="13"/>
    <n v="36.1"/>
    <n v="216.60000000000002"/>
    <x v="85"/>
    <d v="2025-03-31T00:00:00"/>
    <s v="F"/>
    <x v="0"/>
    <x v="0"/>
    <x v="0"/>
    <x v="8"/>
    <x v="5"/>
    <x v="12"/>
    <x v="2"/>
  </r>
  <r>
    <x v="2325"/>
    <x v="1"/>
    <x v="3"/>
    <n v="34.4"/>
    <n v="240.79999999999998"/>
    <x v="85"/>
    <d v="2025-03-27T00:00:00"/>
    <s v="F"/>
    <x v="2"/>
    <x v="1"/>
    <x v="0"/>
    <x v="11"/>
    <x v="7"/>
    <x v="12"/>
    <x v="2"/>
  </r>
  <r>
    <x v="2326"/>
    <x v="1"/>
    <x v="31"/>
    <n v="53.4"/>
    <n v="1495.2"/>
    <x v="85"/>
    <d v="2025-03-29T00:00:00"/>
    <s v="F"/>
    <x v="1"/>
    <x v="0"/>
    <x v="0"/>
    <x v="18"/>
    <x v="1"/>
    <x v="12"/>
    <x v="2"/>
  </r>
  <r>
    <x v="2327"/>
    <x v="2"/>
    <x v="0"/>
    <n v="77.599999999999994"/>
    <n v="77.599999999999994"/>
    <x v="85"/>
    <d v="2025-03-28T00:00:00"/>
    <s v="F"/>
    <x v="0"/>
    <x v="1"/>
    <x v="0"/>
    <x v="19"/>
    <x v="3"/>
    <x v="12"/>
    <x v="2"/>
  </r>
  <r>
    <x v="2328"/>
    <x v="1"/>
    <x v="2"/>
    <n v="71.7"/>
    <n v="215.10000000000002"/>
    <x v="85"/>
    <d v="2025-03-30T00:00:00"/>
    <s v="F"/>
    <x v="1"/>
    <x v="0"/>
    <x v="0"/>
    <x v="19"/>
    <x v="2"/>
    <x v="12"/>
    <x v="2"/>
  </r>
  <r>
    <x v="2329"/>
    <x v="3"/>
    <x v="2"/>
    <n v="80.599999999999994"/>
    <n v="241.79999999999998"/>
    <x v="85"/>
    <d v="2025-03-28T00:00:00"/>
    <s v="M"/>
    <x v="4"/>
    <x v="1"/>
    <x v="0"/>
    <x v="19"/>
    <x v="3"/>
    <x v="12"/>
    <x v="1"/>
  </r>
  <r>
    <x v="2330"/>
    <x v="1"/>
    <x v="20"/>
    <n v="70"/>
    <n v="1050"/>
    <x v="85"/>
    <d v="2025-03-29T00:00:00"/>
    <s v="M"/>
    <x v="0"/>
    <x v="0"/>
    <x v="0"/>
    <x v="20"/>
    <x v="1"/>
    <x v="12"/>
    <x v="1"/>
  </r>
  <r>
    <x v="2331"/>
    <x v="4"/>
    <x v="13"/>
    <n v="27.3"/>
    <n v="163.80000000000001"/>
    <x v="85"/>
    <d v="2025-03-29T00:00:00"/>
    <s v="F"/>
    <x v="1"/>
    <x v="1"/>
    <x v="0"/>
    <x v="2"/>
    <x v="1"/>
    <x v="12"/>
    <x v="2"/>
  </r>
  <r>
    <x v="2332"/>
    <x v="8"/>
    <x v="21"/>
    <n v="37.6"/>
    <n v="526.4"/>
    <x v="85"/>
    <d v="2025-03-29T00:00:00"/>
    <s v="M"/>
    <x v="1"/>
    <x v="0"/>
    <x v="0"/>
    <x v="3"/>
    <x v="1"/>
    <x v="12"/>
    <x v="1"/>
  </r>
  <r>
    <x v="2333"/>
    <x v="5"/>
    <x v="2"/>
    <n v="36.6"/>
    <n v="109.80000000000001"/>
    <x v="85"/>
    <d v="2025-03-29T00:00:00"/>
    <s v="F"/>
    <x v="4"/>
    <x v="0"/>
    <x v="0"/>
    <x v="3"/>
    <x v="1"/>
    <x v="12"/>
    <x v="2"/>
  </r>
  <r>
    <x v="2334"/>
    <x v="13"/>
    <x v="0"/>
    <n v="55.2"/>
    <n v="55.2"/>
    <x v="85"/>
    <d v="2025-03-29T00:00:00"/>
    <s v="M"/>
    <x v="3"/>
    <x v="0"/>
    <x v="0"/>
    <x v="3"/>
    <x v="1"/>
    <x v="12"/>
    <x v="1"/>
  </r>
  <r>
    <x v="2335"/>
    <x v="6"/>
    <x v="9"/>
    <n v="59.9"/>
    <n v="299.5"/>
    <x v="85"/>
    <d v="2025-03-29T00:00:00"/>
    <s v="M"/>
    <x v="0"/>
    <x v="0"/>
    <x v="0"/>
    <x v="3"/>
    <x v="1"/>
    <x v="12"/>
    <x v="1"/>
  </r>
  <r>
    <x v="2336"/>
    <x v="6"/>
    <x v="0"/>
    <n v="44"/>
    <n v="44"/>
    <x v="85"/>
    <d v="2025-03-28T00:00:00"/>
    <s v="F"/>
    <x v="2"/>
    <x v="2"/>
    <x v="0"/>
    <x v="3"/>
    <x v="3"/>
    <x v="12"/>
    <x v="2"/>
  </r>
  <r>
    <x v="2337"/>
    <x v="9"/>
    <x v="1"/>
    <n v="68.7"/>
    <n v="137.4"/>
    <x v="85"/>
    <d v="2025-03-27T00:00:00"/>
    <s v="M"/>
    <x v="0"/>
    <x v="0"/>
    <x v="0"/>
    <x v="3"/>
    <x v="7"/>
    <x v="12"/>
    <x v="1"/>
  </r>
  <r>
    <x v="2338"/>
    <x v="5"/>
    <x v="1"/>
    <n v="61.6"/>
    <n v="123.2"/>
    <x v="85"/>
    <d v="2025-03-31T00:00:00"/>
    <s v="M"/>
    <x v="3"/>
    <x v="1"/>
    <x v="0"/>
    <x v="3"/>
    <x v="5"/>
    <x v="12"/>
    <x v="1"/>
  </r>
  <r>
    <x v="2339"/>
    <x v="7"/>
    <x v="3"/>
    <n v="51.8"/>
    <n v="362.59999999999997"/>
    <x v="85"/>
    <d v="2025-03-28T00:00:00"/>
    <s v="M"/>
    <x v="0"/>
    <x v="0"/>
    <x v="0"/>
    <x v="3"/>
    <x v="3"/>
    <x v="12"/>
    <x v="1"/>
  </r>
  <r>
    <x v="2340"/>
    <x v="8"/>
    <x v="7"/>
    <n v="46.2"/>
    <n v="462"/>
    <x v="85"/>
    <d v="2025-03-29T00:00:00"/>
    <s v="M"/>
    <x v="1"/>
    <x v="2"/>
    <x v="0"/>
    <x v="3"/>
    <x v="1"/>
    <x v="12"/>
    <x v="1"/>
  </r>
  <r>
    <x v="2341"/>
    <x v="0"/>
    <x v="1"/>
    <n v="19.399999999999999"/>
    <n v="38.799999999999997"/>
    <x v="85"/>
    <d v="2025-03-29T00:00:00"/>
    <s v="F"/>
    <x v="1"/>
    <x v="2"/>
    <x v="0"/>
    <x v="6"/>
    <x v="1"/>
    <x v="12"/>
    <x v="2"/>
  </r>
  <r>
    <x v="2342"/>
    <x v="11"/>
    <x v="2"/>
    <n v="52.1"/>
    <n v="156.30000000000001"/>
    <x v="85"/>
    <d v="2025-03-30T00:00:00"/>
    <s v="M"/>
    <x v="3"/>
    <x v="3"/>
    <x v="0"/>
    <x v="6"/>
    <x v="2"/>
    <x v="12"/>
    <x v="1"/>
  </r>
  <r>
    <x v="2343"/>
    <x v="6"/>
    <x v="0"/>
    <n v="74.900000000000006"/>
    <n v="74.900000000000006"/>
    <x v="85"/>
    <d v="2025-03-29T00:00:00"/>
    <s v="O"/>
    <x v="0"/>
    <x v="0"/>
    <x v="0"/>
    <x v="7"/>
    <x v="1"/>
    <x v="12"/>
    <x v="3"/>
  </r>
  <r>
    <x v="2344"/>
    <x v="9"/>
    <x v="3"/>
    <n v="49.6"/>
    <n v="347.2"/>
    <x v="85"/>
    <d v="2025-03-30T00:00:00"/>
    <s v="F"/>
    <x v="4"/>
    <x v="0"/>
    <x v="0"/>
    <x v="8"/>
    <x v="2"/>
    <x v="12"/>
    <x v="2"/>
  </r>
  <r>
    <x v="2345"/>
    <x v="16"/>
    <x v="12"/>
    <n v="82.8"/>
    <n v="331.2"/>
    <x v="86"/>
    <d v="2025-03-31T00:00:00"/>
    <s v="F"/>
    <x v="4"/>
    <x v="0"/>
    <x v="0"/>
    <x v="8"/>
    <x v="2"/>
    <x v="12"/>
    <x v="2"/>
  </r>
  <r>
    <x v="2346"/>
    <x v="2"/>
    <x v="0"/>
    <n v="97.7"/>
    <n v="97.7"/>
    <x v="86"/>
    <d v="2025-03-29T00:00:00"/>
    <s v="F"/>
    <x v="1"/>
    <x v="0"/>
    <x v="0"/>
    <x v="8"/>
    <x v="3"/>
    <x v="12"/>
    <x v="2"/>
  </r>
  <r>
    <x v="2347"/>
    <x v="6"/>
    <x v="9"/>
    <n v="83.6"/>
    <n v="418"/>
    <x v="86"/>
    <d v="2025-03-29T00:00:00"/>
    <s v="F"/>
    <x v="4"/>
    <x v="0"/>
    <x v="0"/>
    <x v="8"/>
    <x v="3"/>
    <x v="12"/>
    <x v="2"/>
  </r>
  <r>
    <x v="2348"/>
    <x v="8"/>
    <x v="9"/>
    <n v="23.5"/>
    <n v="117.5"/>
    <x v="86"/>
    <d v="2025-04-01T00:00:00"/>
    <s v="O"/>
    <x v="0"/>
    <x v="0"/>
    <x v="0"/>
    <x v="8"/>
    <x v="5"/>
    <x v="12"/>
    <x v="3"/>
  </r>
  <r>
    <x v="2349"/>
    <x v="9"/>
    <x v="2"/>
    <n v="44.6"/>
    <n v="133.80000000000001"/>
    <x v="86"/>
    <d v="2025-03-31T00:00:00"/>
    <s v="F"/>
    <x v="4"/>
    <x v="1"/>
    <x v="0"/>
    <x v="26"/>
    <x v="2"/>
    <x v="12"/>
    <x v="2"/>
  </r>
  <r>
    <x v="2350"/>
    <x v="0"/>
    <x v="2"/>
    <n v="20.100000000000001"/>
    <n v="60.300000000000004"/>
    <x v="86"/>
    <d v="2025-03-30T00:00:00"/>
    <s v="F"/>
    <x v="3"/>
    <x v="4"/>
    <x v="0"/>
    <x v="11"/>
    <x v="1"/>
    <x v="12"/>
    <x v="2"/>
  </r>
  <r>
    <x v="2351"/>
    <x v="2"/>
    <x v="9"/>
    <n v="153.6"/>
    <n v="768"/>
    <x v="86"/>
    <d v="2025-03-29T00:00:00"/>
    <s v="F"/>
    <x v="1"/>
    <x v="2"/>
    <x v="0"/>
    <x v="53"/>
    <x v="3"/>
    <x v="12"/>
    <x v="2"/>
  </r>
  <r>
    <x v="2352"/>
    <x v="1"/>
    <x v="1"/>
    <n v="71.8"/>
    <n v="143.6"/>
    <x v="86"/>
    <d v="2025-04-01T00:00:00"/>
    <s v="F"/>
    <x v="1"/>
    <x v="0"/>
    <x v="0"/>
    <x v="1"/>
    <x v="5"/>
    <x v="12"/>
    <x v="2"/>
  </r>
  <r>
    <x v="2353"/>
    <x v="10"/>
    <x v="0"/>
    <n v="64.7"/>
    <n v="64.7"/>
    <x v="86"/>
    <d v="2025-03-30T00:00:00"/>
    <s v=""/>
    <x v="0"/>
    <x v="1"/>
    <x v="0"/>
    <x v="1"/>
    <x v="1"/>
    <x v="12"/>
    <x v="0"/>
  </r>
  <r>
    <x v="2354"/>
    <x v="9"/>
    <x v="8"/>
    <n v="60.4"/>
    <n v="483.2"/>
    <x v="86"/>
    <d v="2025-03-30T00:00:00"/>
    <s v="F"/>
    <x v="3"/>
    <x v="2"/>
    <x v="0"/>
    <x v="2"/>
    <x v="1"/>
    <x v="12"/>
    <x v="2"/>
  </r>
  <r>
    <x v="2355"/>
    <x v="6"/>
    <x v="12"/>
    <n v="86"/>
    <n v="344"/>
    <x v="86"/>
    <d v="2025-03-31T00:00:00"/>
    <s v="F"/>
    <x v="2"/>
    <x v="2"/>
    <x v="0"/>
    <x v="22"/>
    <x v="2"/>
    <x v="12"/>
    <x v="2"/>
  </r>
  <r>
    <x v="2356"/>
    <x v="12"/>
    <x v="1"/>
    <n v="42.1"/>
    <n v="84.2"/>
    <x v="86"/>
    <d v="2025-03-29T00:00:00"/>
    <s v="F"/>
    <x v="4"/>
    <x v="1"/>
    <x v="0"/>
    <x v="34"/>
    <x v="3"/>
    <x v="12"/>
    <x v="2"/>
  </r>
  <r>
    <x v="2357"/>
    <x v="16"/>
    <x v="11"/>
    <n v="51.1"/>
    <n v="459.90000000000003"/>
    <x v="86"/>
    <d v="2025-03-29T00:00:00"/>
    <s v="M"/>
    <x v="2"/>
    <x v="1"/>
    <x v="0"/>
    <x v="3"/>
    <x v="3"/>
    <x v="12"/>
    <x v="1"/>
  </r>
  <r>
    <x v="2358"/>
    <x v="9"/>
    <x v="12"/>
    <n v="73.8"/>
    <n v="295.2"/>
    <x v="86"/>
    <d v="2025-03-29T00:00:00"/>
    <s v="M"/>
    <x v="4"/>
    <x v="0"/>
    <x v="0"/>
    <x v="3"/>
    <x v="3"/>
    <x v="12"/>
    <x v="1"/>
  </r>
  <r>
    <x v="2359"/>
    <x v="8"/>
    <x v="9"/>
    <n v="27"/>
    <n v="135"/>
    <x v="86"/>
    <d v="2025-03-31T00:00:00"/>
    <s v="F"/>
    <x v="2"/>
    <x v="2"/>
    <x v="0"/>
    <x v="3"/>
    <x v="2"/>
    <x v="12"/>
    <x v="2"/>
  </r>
  <r>
    <x v="2360"/>
    <x v="8"/>
    <x v="13"/>
    <n v="60.1"/>
    <n v="360.6"/>
    <x v="86"/>
    <d v="2025-03-29T00:00:00"/>
    <s v="M"/>
    <x v="3"/>
    <x v="0"/>
    <x v="0"/>
    <x v="3"/>
    <x v="3"/>
    <x v="12"/>
    <x v="1"/>
  </r>
  <r>
    <x v="2361"/>
    <x v="2"/>
    <x v="3"/>
    <n v="94.1"/>
    <n v="658.69999999999993"/>
    <x v="86"/>
    <d v="2025-03-30T00:00:00"/>
    <s v="F"/>
    <x v="4"/>
    <x v="1"/>
    <x v="0"/>
    <x v="3"/>
    <x v="1"/>
    <x v="12"/>
    <x v="2"/>
  </r>
  <r>
    <x v="2362"/>
    <x v="2"/>
    <x v="1"/>
    <n v="124.1"/>
    <n v="248.2"/>
    <x v="86"/>
    <d v="2025-03-28T00:00:00"/>
    <s v="F"/>
    <x v="2"/>
    <x v="3"/>
    <x v="0"/>
    <x v="43"/>
    <x v="7"/>
    <x v="12"/>
    <x v="2"/>
  </r>
  <r>
    <x v="2363"/>
    <x v="8"/>
    <x v="12"/>
    <n v="16.899999999999999"/>
    <n v="67.599999999999994"/>
    <x v="86"/>
    <d v="2025-03-31T00:00:00"/>
    <s v="M"/>
    <x v="3"/>
    <x v="0"/>
    <x v="0"/>
    <x v="6"/>
    <x v="2"/>
    <x v="12"/>
    <x v="1"/>
  </r>
  <r>
    <x v="2364"/>
    <x v="1"/>
    <x v="0"/>
    <n v="36.9"/>
    <n v="36.9"/>
    <x v="86"/>
    <d v="2025-03-29T00:00:00"/>
    <s v="M"/>
    <x v="0"/>
    <x v="0"/>
    <x v="0"/>
    <x v="6"/>
    <x v="3"/>
    <x v="12"/>
    <x v="1"/>
  </r>
  <r>
    <x v="2365"/>
    <x v="9"/>
    <x v="1"/>
    <n v="22.6"/>
    <n v="45.2"/>
    <x v="86"/>
    <d v="2025-04-10T00:00:00"/>
    <s v="F"/>
    <x v="2"/>
    <x v="1"/>
    <x v="0"/>
    <x v="8"/>
    <x v="10"/>
    <x v="12"/>
    <x v="2"/>
  </r>
  <r>
    <x v="2366"/>
    <x v="7"/>
    <x v="12"/>
    <n v="35"/>
    <n v="140"/>
    <x v="86"/>
    <d v="2025-04-02T00:00:00"/>
    <s v="M"/>
    <x v="3"/>
    <x v="1"/>
    <x v="0"/>
    <x v="8"/>
    <x v="0"/>
    <x v="12"/>
    <x v="1"/>
  </r>
  <r>
    <x v="2367"/>
    <x v="9"/>
    <x v="13"/>
    <n v="63.6"/>
    <n v="381.6"/>
    <x v="86"/>
    <d v="2025-04-04T00:00:00"/>
    <s v=""/>
    <x v="1"/>
    <x v="2"/>
    <x v="0"/>
    <x v="8"/>
    <x v="6"/>
    <x v="12"/>
    <x v="0"/>
  </r>
  <r>
    <x v="2368"/>
    <x v="15"/>
    <x v="12"/>
    <n v="78.599999999999994"/>
    <n v="314.39999999999998"/>
    <x v="86"/>
    <d v="2025-03-29T00:00:00"/>
    <s v="M"/>
    <x v="4"/>
    <x v="1"/>
    <x v="0"/>
    <x v="8"/>
    <x v="3"/>
    <x v="12"/>
    <x v="1"/>
  </r>
  <r>
    <x v="2369"/>
    <x v="3"/>
    <x v="1"/>
    <n v="38.5"/>
    <n v="77"/>
    <x v="86"/>
    <d v="2025-03-29T00:00:00"/>
    <s v="M"/>
    <x v="0"/>
    <x v="2"/>
    <x v="0"/>
    <x v="8"/>
    <x v="3"/>
    <x v="12"/>
    <x v="1"/>
  </r>
  <r>
    <x v="2370"/>
    <x v="8"/>
    <x v="5"/>
    <n v="71.5"/>
    <n v="786.5"/>
    <x v="86"/>
    <d v="2025-03-29T00:00:00"/>
    <s v="F"/>
    <x v="1"/>
    <x v="4"/>
    <x v="0"/>
    <x v="8"/>
    <x v="3"/>
    <x v="12"/>
    <x v="2"/>
  </r>
  <r>
    <x v="2371"/>
    <x v="6"/>
    <x v="12"/>
    <n v="121.4"/>
    <n v="485.6"/>
    <x v="86"/>
    <d v="2025-04-01T00:00:00"/>
    <s v="M"/>
    <x v="1"/>
    <x v="2"/>
    <x v="0"/>
    <x v="17"/>
    <x v="5"/>
    <x v="12"/>
    <x v="1"/>
  </r>
  <r>
    <x v="2372"/>
    <x v="11"/>
    <x v="0"/>
    <n v="40.200000000000003"/>
    <n v="40.200000000000003"/>
    <x v="86"/>
    <d v="2025-03-31T00:00:00"/>
    <s v="F"/>
    <x v="0"/>
    <x v="2"/>
    <x v="0"/>
    <x v="11"/>
    <x v="2"/>
    <x v="12"/>
    <x v="2"/>
  </r>
  <r>
    <x v="2373"/>
    <x v="5"/>
    <x v="9"/>
    <n v="31.9"/>
    <n v="159.5"/>
    <x v="86"/>
    <d v="2025-03-30T00:00:00"/>
    <s v="F"/>
    <x v="2"/>
    <x v="2"/>
    <x v="0"/>
    <x v="28"/>
    <x v="1"/>
    <x v="12"/>
    <x v="2"/>
  </r>
  <r>
    <x v="2374"/>
    <x v="14"/>
    <x v="9"/>
    <n v="15.8"/>
    <n v="79"/>
    <x v="87"/>
    <d v="2025-03-30T00:00:00"/>
    <s v="M"/>
    <x v="3"/>
    <x v="2"/>
    <x v="0"/>
    <x v="21"/>
    <x v="3"/>
    <x v="12"/>
    <x v="1"/>
  </r>
  <r>
    <x v="2375"/>
    <x v="10"/>
    <x v="1"/>
    <n v="25.1"/>
    <n v="50.2"/>
    <x v="87"/>
    <d v="2025-03-31T00:00:00"/>
    <s v=""/>
    <x v="1"/>
    <x v="0"/>
    <x v="0"/>
    <x v="21"/>
    <x v="1"/>
    <x v="12"/>
    <x v="0"/>
  </r>
  <r>
    <x v="2376"/>
    <x v="1"/>
    <x v="44"/>
    <n v="38.1"/>
    <n v="876.30000000000007"/>
    <x v="87"/>
    <d v="2025-03-30T00:00:00"/>
    <s v="F"/>
    <x v="4"/>
    <x v="0"/>
    <x v="0"/>
    <x v="1"/>
    <x v="3"/>
    <x v="12"/>
    <x v="2"/>
  </r>
  <r>
    <x v="2377"/>
    <x v="3"/>
    <x v="1"/>
    <n v="42.2"/>
    <n v="84.4"/>
    <x v="87"/>
    <d v="2025-03-31T00:00:00"/>
    <s v="F"/>
    <x v="0"/>
    <x v="2"/>
    <x v="0"/>
    <x v="1"/>
    <x v="1"/>
    <x v="12"/>
    <x v="2"/>
  </r>
  <r>
    <x v="2378"/>
    <x v="0"/>
    <x v="7"/>
    <n v="12.3"/>
    <n v="123"/>
    <x v="87"/>
    <d v="2025-03-30T00:00:00"/>
    <s v="F"/>
    <x v="4"/>
    <x v="0"/>
    <x v="0"/>
    <x v="2"/>
    <x v="3"/>
    <x v="12"/>
    <x v="2"/>
  </r>
  <r>
    <x v="2379"/>
    <x v="7"/>
    <x v="0"/>
    <n v="30.2"/>
    <n v="30.2"/>
    <x v="87"/>
    <d v="2025-03-31T00:00:00"/>
    <s v="F"/>
    <x v="1"/>
    <x v="2"/>
    <x v="0"/>
    <x v="34"/>
    <x v="1"/>
    <x v="12"/>
    <x v="2"/>
  </r>
  <r>
    <x v="2380"/>
    <x v="5"/>
    <x v="2"/>
    <n v="25.3"/>
    <n v="75.900000000000006"/>
    <x v="87"/>
    <d v="2025-04-01T00:00:00"/>
    <s v="F"/>
    <x v="2"/>
    <x v="0"/>
    <x v="0"/>
    <x v="3"/>
    <x v="2"/>
    <x v="12"/>
    <x v="2"/>
  </r>
  <r>
    <x v="2381"/>
    <x v="8"/>
    <x v="9"/>
    <n v="29.7"/>
    <n v="148.5"/>
    <x v="87"/>
    <d v="2025-03-31T00:00:00"/>
    <s v="M"/>
    <x v="3"/>
    <x v="0"/>
    <x v="0"/>
    <x v="3"/>
    <x v="1"/>
    <x v="12"/>
    <x v="1"/>
  </r>
  <r>
    <x v="2382"/>
    <x v="9"/>
    <x v="8"/>
    <n v="32.9"/>
    <n v="263.2"/>
    <x v="87"/>
    <d v="2025-03-30T00:00:00"/>
    <s v=""/>
    <x v="3"/>
    <x v="2"/>
    <x v="0"/>
    <x v="3"/>
    <x v="3"/>
    <x v="12"/>
    <x v="0"/>
  </r>
  <r>
    <x v="2383"/>
    <x v="10"/>
    <x v="1"/>
    <n v="43.6"/>
    <n v="87.2"/>
    <x v="87"/>
    <d v="2025-03-30T00:00:00"/>
    <s v="M"/>
    <x v="1"/>
    <x v="2"/>
    <x v="0"/>
    <x v="3"/>
    <x v="3"/>
    <x v="12"/>
    <x v="1"/>
  </r>
  <r>
    <x v="2384"/>
    <x v="15"/>
    <x v="12"/>
    <n v="78.400000000000006"/>
    <n v="313.60000000000002"/>
    <x v="87"/>
    <d v="2025-03-30T00:00:00"/>
    <s v="M"/>
    <x v="2"/>
    <x v="0"/>
    <x v="0"/>
    <x v="3"/>
    <x v="3"/>
    <x v="12"/>
    <x v="1"/>
  </r>
  <r>
    <x v="2385"/>
    <x v="6"/>
    <x v="1"/>
    <n v="56.5"/>
    <n v="113"/>
    <x v="87"/>
    <d v="2025-04-02T00:00:00"/>
    <s v="M"/>
    <x v="1"/>
    <x v="1"/>
    <x v="0"/>
    <x v="3"/>
    <x v="5"/>
    <x v="12"/>
    <x v="1"/>
  </r>
  <r>
    <x v="2386"/>
    <x v="16"/>
    <x v="0"/>
    <n v="36.700000000000003"/>
    <n v="36.700000000000003"/>
    <x v="87"/>
    <d v="2025-03-30T00:00:00"/>
    <s v="F"/>
    <x v="0"/>
    <x v="2"/>
    <x v="0"/>
    <x v="3"/>
    <x v="3"/>
    <x v="12"/>
    <x v="2"/>
  </r>
  <r>
    <x v="2387"/>
    <x v="2"/>
    <x v="12"/>
    <n v="103.6"/>
    <n v="414.4"/>
    <x v="87"/>
    <d v="2025-04-09T00:00:00"/>
    <s v="M"/>
    <x v="4"/>
    <x v="2"/>
    <x v="0"/>
    <x v="3"/>
    <x v="11"/>
    <x v="12"/>
    <x v="1"/>
  </r>
  <r>
    <x v="2388"/>
    <x v="8"/>
    <x v="13"/>
    <n v="16.2"/>
    <n v="97.199999999999989"/>
    <x v="87"/>
    <d v="2025-04-02T00:00:00"/>
    <s v="M"/>
    <x v="1"/>
    <x v="2"/>
    <x v="0"/>
    <x v="6"/>
    <x v="5"/>
    <x v="12"/>
    <x v="1"/>
  </r>
  <r>
    <x v="2389"/>
    <x v="8"/>
    <x v="1"/>
    <n v="20.2"/>
    <n v="40.4"/>
    <x v="87"/>
    <d v="2025-03-30T00:00:00"/>
    <s v="F"/>
    <x v="0"/>
    <x v="0"/>
    <x v="0"/>
    <x v="6"/>
    <x v="3"/>
    <x v="12"/>
    <x v="2"/>
  </r>
  <r>
    <x v="2390"/>
    <x v="11"/>
    <x v="1"/>
    <n v="26.9"/>
    <n v="53.8"/>
    <x v="87"/>
    <d v="2025-03-31T00:00:00"/>
    <s v="F"/>
    <x v="2"/>
    <x v="0"/>
    <x v="0"/>
    <x v="6"/>
    <x v="1"/>
    <x v="12"/>
    <x v="2"/>
  </r>
  <r>
    <x v="2391"/>
    <x v="1"/>
    <x v="1"/>
    <n v="82.4"/>
    <n v="164.8"/>
    <x v="87"/>
    <d v="2025-04-01T00:00:00"/>
    <s v=""/>
    <x v="0"/>
    <x v="0"/>
    <x v="0"/>
    <x v="7"/>
    <x v="2"/>
    <x v="12"/>
    <x v="0"/>
  </r>
  <r>
    <x v="2392"/>
    <x v="2"/>
    <x v="1"/>
    <n v="117.8"/>
    <n v="235.6"/>
    <x v="87"/>
    <d v="2025-03-31T00:00:00"/>
    <s v="M"/>
    <x v="1"/>
    <x v="2"/>
    <x v="0"/>
    <x v="8"/>
    <x v="1"/>
    <x v="12"/>
    <x v="1"/>
  </r>
  <r>
    <x v="2393"/>
    <x v="11"/>
    <x v="12"/>
    <n v="36.700000000000003"/>
    <n v="146.80000000000001"/>
    <x v="87"/>
    <d v="2025-03-30T00:00:00"/>
    <s v="M"/>
    <x v="1"/>
    <x v="0"/>
    <x v="0"/>
    <x v="8"/>
    <x v="3"/>
    <x v="12"/>
    <x v="1"/>
  </r>
  <r>
    <x v="2394"/>
    <x v="17"/>
    <x v="2"/>
    <n v="46.8"/>
    <n v="140.39999999999998"/>
    <x v="87"/>
    <d v="2025-03-30T00:00:00"/>
    <s v="M"/>
    <x v="4"/>
    <x v="2"/>
    <x v="0"/>
    <x v="10"/>
    <x v="3"/>
    <x v="12"/>
    <x v="1"/>
  </r>
  <r>
    <x v="2395"/>
    <x v="3"/>
    <x v="0"/>
    <n v="61.4"/>
    <n v="61.4"/>
    <x v="87"/>
    <d v="2025-03-30T00:00:00"/>
    <s v="M"/>
    <x v="1"/>
    <x v="0"/>
    <x v="0"/>
    <x v="10"/>
    <x v="3"/>
    <x v="12"/>
    <x v="1"/>
  </r>
  <r>
    <x v="2396"/>
    <x v="15"/>
    <x v="1"/>
    <n v="22.9"/>
    <n v="45.8"/>
    <x v="87"/>
    <d v="2025-03-30T00:00:00"/>
    <s v="M"/>
    <x v="0"/>
    <x v="0"/>
    <x v="0"/>
    <x v="11"/>
    <x v="3"/>
    <x v="12"/>
    <x v="1"/>
  </r>
  <r>
    <x v="2397"/>
    <x v="10"/>
    <x v="1"/>
    <n v="22.1"/>
    <n v="44.2"/>
    <x v="87"/>
    <d v="2025-03-30T00:00:00"/>
    <s v="F"/>
    <x v="4"/>
    <x v="0"/>
    <x v="0"/>
    <x v="11"/>
    <x v="3"/>
    <x v="12"/>
    <x v="2"/>
  </r>
  <r>
    <x v="2398"/>
    <x v="12"/>
    <x v="1"/>
    <n v="31"/>
    <n v="62"/>
    <x v="87"/>
    <d v="2025-03-31T00:00:00"/>
    <s v="F"/>
    <x v="2"/>
    <x v="0"/>
    <x v="0"/>
    <x v="18"/>
    <x v="1"/>
    <x v="12"/>
    <x v="2"/>
  </r>
  <r>
    <x v="2399"/>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FE5476-AC06-4808-9ADC-B690501F4DB1}" name="pvt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A40:C59"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Col" showAll="0">
      <items count="5">
        <item h="1" x="2"/>
        <item x="1"/>
        <item h="1" x="3"/>
        <item h="1"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8">
    <i>
      <x v="6"/>
    </i>
    <i>
      <x v="1"/>
    </i>
    <i>
      <x v="16"/>
    </i>
    <i>
      <x v="13"/>
    </i>
    <i>
      <x v="11"/>
    </i>
    <i>
      <x v="18"/>
    </i>
    <i>
      <x v="14"/>
    </i>
    <i>
      <x v="10"/>
    </i>
    <i>
      <x v="12"/>
    </i>
    <i>
      <x v="8"/>
    </i>
    <i>
      <x v="19"/>
    </i>
    <i>
      <x v="5"/>
    </i>
    <i>
      <x v="4"/>
    </i>
    <i>
      <x v="7"/>
    </i>
    <i>
      <x v="3"/>
    </i>
    <i>
      <x v="17"/>
    </i>
    <i>
      <x v="2"/>
    </i>
    <i t="grand">
      <x/>
    </i>
  </rowItems>
  <colFields count="1">
    <field x="14"/>
  </colFields>
  <colItems count="2">
    <i>
      <x v="1"/>
    </i>
    <i t="grand">
      <x/>
    </i>
  </colItems>
  <dataFields count="1">
    <dataField name="Sum of Quantity" fld="2" baseField="0" baseItem="0"/>
  </dataFields>
  <chartFormats count="34">
    <chartFormat chart="4" format="3"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35" format="4" series="1">
      <pivotArea type="data" outline="0" fieldPosition="0">
        <references count="2">
          <reference field="4294967294" count="1" selected="0">
            <x v="0"/>
          </reference>
          <reference field="14" count="1" selected="0">
            <x v="0"/>
          </reference>
        </references>
      </pivotArea>
    </chartFormat>
    <chartFormat chart="35" format="5" series="1">
      <pivotArea type="data" outline="0" fieldPosition="0">
        <references count="2">
          <reference field="4294967294" count="1" selected="0">
            <x v="0"/>
          </reference>
          <reference field="14" count="1" selected="0">
            <x v="1"/>
          </reference>
        </references>
      </pivotArea>
    </chartFormat>
    <chartFormat chart="35" format="6" series="1">
      <pivotArea type="data" outline="0" fieldPosition="0">
        <references count="2">
          <reference field="4294967294" count="1" selected="0">
            <x v="0"/>
          </reference>
          <reference field="14" count="1" selected="0">
            <x v="2"/>
          </reference>
        </references>
      </pivotArea>
    </chartFormat>
    <chartFormat chart="35" format="7" series="1">
      <pivotArea type="data" outline="0" fieldPosition="0">
        <references count="2">
          <reference field="4294967294" count="1" selected="0">
            <x v="0"/>
          </reference>
          <reference field="14" count="1" selected="0">
            <x v="3"/>
          </reference>
        </references>
      </pivotArea>
    </chartFormat>
    <chartFormat chart="36" format="8" series="1">
      <pivotArea type="data" outline="0" fieldPosition="0">
        <references count="2">
          <reference field="4294967294" count="1" selected="0">
            <x v="0"/>
          </reference>
          <reference field="14" count="1" selected="0">
            <x v="0"/>
          </reference>
        </references>
      </pivotArea>
    </chartFormat>
    <chartFormat chart="36" format="9" series="1">
      <pivotArea type="data" outline="0" fieldPosition="0">
        <references count="2">
          <reference field="4294967294" count="1" selected="0">
            <x v="0"/>
          </reference>
          <reference field="14" count="1" selected="0">
            <x v="1"/>
          </reference>
        </references>
      </pivotArea>
    </chartFormat>
    <chartFormat chart="36" format="10" series="1">
      <pivotArea type="data" outline="0" fieldPosition="0">
        <references count="2">
          <reference field="4294967294" count="1" selected="0">
            <x v="0"/>
          </reference>
          <reference field="14" count="1" selected="0">
            <x v="2"/>
          </reference>
        </references>
      </pivotArea>
    </chartFormat>
    <chartFormat chart="36" format="11" series="1">
      <pivotArea type="data" outline="0" fieldPosition="0">
        <references count="2">
          <reference field="4294967294" count="1" selected="0">
            <x v="0"/>
          </reference>
          <reference field="14" count="1" selected="0">
            <x v="3"/>
          </reference>
        </references>
      </pivotArea>
    </chartFormat>
    <chartFormat chart="47" format="8" series="1">
      <pivotArea type="data" outline="0" fieldPosition="0">
        <references count="2">
          <reference field="4294967294" count="1" selected="0">
            <x v="0"/>
          </reference>
          <reference field="14" count="1" selected="0">
            <x v="0"/>
          </reference>
        </references>
      </pivotArea>
    </chartFormat>
    <chartFormat chart="47" format="9" series="1">
      <pivotArea type="data" outline="0" fieldPosition="0">
        <references count="2">
          <reference field="4294967294" count="1" selected="0">
            <x v="0"/>
          </reference>
          <reference field="14" count="1" selected="0">
            <x v="1"/>
          </reference>
        </references>
      </pivotArea>
    </chartFormat>
    <chartFormat chart="47" format="10" series="1">
      <pivotArea type="data" outline="0" fieldPosition="0">
        <references count="2">
          <reference field="4294967294" count="1" selected="0">
            <x v="0"/>
          </reference>
          <reference field="14" count="1" selected="0">
            <x v="2"/>
          </reference>
        </references>
      </pivotArea>
    </chartFormat>
    <chartFormat chart="47" format="11" series="1">
      <pivotArea type="data" outline="0" fieldPosition="0">
        <references count="2">
          <reference field="4294967294" count="1" selected="0">
            <x v="0"/>
          </reference>
          <reference field="14" count="1" selected="0">
            <x v="3"/>
          </reference>
        </references>
      </pivotArea>
    </chartFormat>
    <chartFormat chart="47" format="12">
      <pivotArea type="data" outline="0" fieldPosition="0">
        <references count="3">
          <reference field="4294967294" count="1" selected="0">
            <x v="0"/>
          </reference>
          <reference field="1" count="1" selected="0">
            <x v="18"/>
          </reference>
          <reference field="14" count="1" selected="0">
            <x v="1"/>
          </reference>
        </references>
      </pivotArea>
    </chartFormat>
    <chartFormat chart="47" format="13">
      <pivotArea type="data" outline="0" fieldPosition="0">
        <references count="3">
          <reference field="4294967294" count="1" selected="0">
            <x v="0"/>
          </reference>
          <reference field="1" count="1" selected="0">
            <x v="13"/>
          </reference>
          <reference field="14" count="1" selected="0">
            <x v="1"/>
          </reference>
        </references>
      </pivotArea>
    </chartFormat>
    <chartFormat chart="47" format="14">
      <pivotArea type="data" outline="0" fieldPosition="0">
        <references count="3">
          <reference field="4294967294" count="1" selected="0">
            <x v="0"/>
          </reference>
          <reference field="1" count="1" selected="0">
            <x v="11"/>
          </reference>
          <reference field="14" count="1" selected="0">
            <x v="1"/>
          </reference>
        </references>
      </pivotArea>
    </chartFormat>
    <chartFormat chart="47" format="15">
      <pivotArea type="data" outline="0" fieldPosition="0">
        <references count="3">
          <reference field="4294967294" count="1" selected="0">
            <x v="0"/>
          </reference>
          <reference field="1" count="1" selected="0">
            <x v="5"/>
          </reference>
          <reference field="14" count="1" selected="0">
            <x v="1"/>
          </reference>
        </references>
      </pivotArea>
    </chartFormat>
    <chartFormat chart="47" format="16">
      <pivotArea type="data" outline="0" fieldPosition="0">
        <references count="3">
          <reference field="4294967294" count="1" selected="0">
            <x v="0"/>
          </reference>
          <reference field="1" count="1" selected="0">
            <x v="6"/>
          </reference>
          <reference field="14" count="1" selected="0">
            <x v="1"/>
          </reference>
        </references>
      </pivotArea>
    </chartFormat>
    <chartFormat chart="47" format="17">
      <pivotArea type="data" outline="0" fieldPosition="0">
        <references count="3">
          <reference field="4294967294" count="1" selected="0">
            <x v="0"/>
          </reference>
          <reference field="1" count="1" selected="0">
            <x v="14"/>
          </reference>
          <reference field="14" count="1" selected="0">
            <x v="1"/>
          </reference>
        </references>
      </pivotArea>
    </chartFormat>
    <chartFormat chart="47" format="18">
      <pivotArea type="data" outline="0" fieldPosition="0">
        <references count="3">
          <reference field="4294967294" count="1" selected="0">
            <x v="0"/>
          </reference>
          <reference field="1" count="1" selected="0">
            <x v="12"/>
          </reference>
          <reference field="14" count="1" selected="0">
            <x v="1"/>
          </reference>
        </references>
      </pivotArea>
    </chartFormat>
    <chartFormat chart="47" format="19">
      <pivotArea type="data" outline="0" fieldPosition="0">
        <references count="3">
          <reference field="4294967294" count="1" selected="0">
            <x v="0"/>
          </reference>
          <reference field="1" count="1" selected="0">
            <x v="1"/>
          </reference>
          <reference field="14" count="1" selected="0">
            <x v="1"/>
          </reference>
        </references>
      </pivotArea>
    </chartFormat>
    <chartFormat chart="47" format="20">
      <pivotArea type="data" outline="0" fieldPosition="0">
        <references count="3">
          <reference field="4294967294" count="1" selected="0">
            <x v="0"/>
          </reference>
          <reference field="1" count="1" selected="0">
            <x v="16"/>
          </reference>
          <reference field="14" count="1" selected="0">
            <x v="1"/>
          </reference>
        </references>
      </pivotArea>
    </chartFormat>
    <chartFormat chart="47" format="21">
      <pivotArea type="data" outline="0" fieldPosition="0">
        <references count="3">
          <reference field="4294967294" count="1" selected="0">
            <x v="0"/>
          </reference>
          <reference field="1" count="1" selected="0">
            <x v="4"/>
          </reference>
          <reference field="14" count="1" selected="0">
            <x v="1"/>
          </reference>
        </references>
      </pivotArea>
    </chartFormat>
    <chartFormat chart="47" format="22">
      <pivotArea type="data" outline="0" fieldPosition="0">
        <references count="3">
          <reference field="4294967294" count="1" selected="0">
            <x v="0"/>
          </reference>
          <reference field="1" count="1" selected="0">
            <x v="15"/>
          </reference>
          <reference field="14" count="1" selected="0">
            <x v="1"/>
          </reference>
        </references>
      </pivotArea>
    </chartFormat>
    <chartFormat chart="47" format="23">
      <pivotArea type="data" outline="0" fieldPosition="0">
        <references count="3">
          <reference field="4294967294" count="1" selected="0">
            <x v="0"/>
          </reference>
          <reference field="1" count="1" selected="0">
            <x v="3"/>
          </reference>
          <reference field="14" count="1" selected="0">
            <x v="1"/>
          </reference>
        </references>
      </pivotArea>
    </chartFormat>
    <chartFormat chart="47" format="24">
      <pivotArea type="data" outline="0" fieldPosition="0">
        <references count="3">
          <reference field="4294967294" count="1" selected="0">
            <x v="0"/>
          </reference>
          <reference field="1" count="1" selected="0">
            <x v="8"/>
          </reference>
          <reference field="14" count="1" selected="0">
            <x v="1"/>
          </reference>
        </references>
      </pivotArea>
    </chartFormat>
    <chartFormat chart="47" format="25">
      <pivotArea type="data" outline="0" fieldPosition="0">
        <references count="3">
          <reference field="4294967294" count="1" selected="0">
            <x v="0"/>
          </reference>
          <reference field="1" count="1" selected="0">
            <x v="0"/>
          </reference>
          <reference field="14" count="1" selected="0">
            <x v="1"/>
          </reference>
        </references>
      </pivotArea>
    </chartFormat>
    <chartFormat chart="47" format="26">
      <pivotArea type="data" outline="0" fieldPosition="0">
        <references count="3">
          <reference field="4294967294" count="1" selected="0">
            <x v="0"/>
          </reference>
          <reference field="1" count="1" selected="0">
            <x v="7"/>
          </reference>
          <reference field="14" count="1" selected="0">
            <x v="1"/>
          </reference>
        </references>
      </pivotArea>
    </chartFormat>
    <chartFormat chart="47" format="27">
      <pivotArea type="data" outline="0" fieldPosition="0">
        <references count="3">
          <reference field="4294967294" count="1" selected="0">
            <x v="0"/>
          </reference>
          <reference field="1" count="1" selected="0">
            <x v="2"/>
          </reference>
          <reference field="14" count="1" selected="0">
            <x v="1"/>
          </reference>
        </references>
      </pivotArea>
    </chartFormat>
    <chartFormat chart="47" format="28">
      <pivotArea type="data" outline="0" fieldPosition="0">
        <references count="3">
          <reference field="4294967294" count="1" selected="0">
            <x v="0"/>
          </reference>
          <reference field="1" count="1" selected="0">
            <x v="17"/>
          </reference>
          <reference field="14" count="1" selected="0">
            <x v="1"/>
          </reference>
        </references>
      </pivotArea>
    </chartFormat>
    <chartFormat chart="47" format="29">
      <pivotArea type="data" outline="0" fieldPosition="0">
        <references count="3">
          <reference field="4294967294" count="1" selected="0">
            <x v="0"/>
          </reference>
          <reference field="1" count="1" selected="0">
            <x v="19"/>
          </reference>
          <reference field="14" count="1" selected="0">
            <x v="1"/>
          </reference>
        </references>
      </pivotArea>
    </chartFormat>
    <chartFormat chart="47" format="30">
      <pivotArea type="data" outline="0" fieldPosition="0">
        <references count="3">
          <reference field="4294967294" count="1" selected="0">
            <x v="0"/>
          </reference>
          <reference field="1" count="1" selected="0">
            <x v="10"/>
          </reference>
          <reference field="14" count="1" selected="0">
            <x v="1"/>
          </reference>
        </references>
      </pivotArea>
    </chartFormat>
    <chartFormat chart="47" format="31">
      <pivotArea type="data" outline="0" fieldPosition="0">
        <references count="3">
          <reference field="4294967294" count="1" selected="0">
            <x v="0"/>
          </reference>
          <reference field="1" count="1" selected="0">
            <x v="9"/>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25A463-CB65-45ED-9F1F-A9E72F455A16}" name="pvtQ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A25:B33"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showAll="0">
      <items count="5">
        <item x="2"/>
        <item h="1" x="1"/>
        <item h="1" x="3"/>
        <item h="1"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3">
    <chartFormat chart="29"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9C53FB-1731-4FAD-BF49-4F14C42C9F7F}" name="pvtMa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1">
  <location ref="A69:D92"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sortType="descending" defaultSubtotal="0">
      <items count="20">
        <item x="14"/>
        <item x="10"/>
        <item x="12"/>
        <item x="15"/>
        <item x="4"/>
        <item x="7"/>
        <item x="6"/>
        <item x="19"/>
        <item x="18"/>
        <item x="11"/>
        <item x="17"/>
        <item x="5"/>
        <item x="0"/>
        <item x="2"/>
        <item x="9"/>
        <item x="16"/>
        <item x="1"/>
        <item x="13"/>
        <item x="8"/>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h="1" x="0"/>
        <item h="1" x="3"/>
        <item x="4"/>
        <item h="1" x="2"/>
        <item h="1"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4">
        <item x="2"/>
        <item h="1" x="1"/>
        <item h="1" x="3"/>
        <item h="1"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23">
    <i>
      <x/>
      <x/>
    </i>
    <i r="1">
      <x v="3"/>
    </i>
    <i r="1">
      <x v="6"/>
    </i>
    <i r="1">
      <x v="9"/>
    </i>
    <i r="1">
      <x v="11"/>
    </i>
    <i r="1">
      <x v="14"/>
    </i>
    <i r="1">
      <x v="15"/>
    </i>
    <i r="1">
      <x v="18"/>
    </i>
    <i r="1">
      <x v="19"/>
    </i>
    <i r="1">
      <x v="20"/>
    </i>
    <i r="1">
      <x v="27"/>
    </i>
    <i r="1">
      <x v="32"/>
    </i>
    <i r="1">
      <x v="33"/>
    </i>
    <i r="1">
      <x v="35"/>
    </i>
    <i r="1">
      <x v="36"/>
    </i>
    <i r="1">
      <x v="37"/>
    </i>
    <i r="1">
      <x v="38"/>
    </i>
    <i r="1">
      <x v="40"/>
    </i>
    <i r="1">
      <x v="42"/>
    </i>
    <i r="1">
      <x v="46"/>
    </i>
    <i r="1">
      <x v="48"/>
    </i>
    <i r="1">
      <x v="49"/>
    </i>
    <i r="1">
      <x v="55"/>
    </i>
  </rowItems>
  <colFields count="1">
    <field x="-2"/>
  </colFields>
  <colItems count="2">
    <i>
      <x/>
    </i>
    <i i="1">
      <x v="1"/>
    </i>
  </colItems>
  <dataFields count="2">
    <dataField name="Sum of Quantity" fld="2" baseField="0" baseItem="0"/>
    <dataField name="Sum of Amount" fld="4" baseField="0" baseItem="0"/>
  </dataFields>
  <chartFormats count="2">
    <chartFormat chart="4" format="3"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9E15A1-1E99-430A-A1B0-860D4E329D2F}" name="pvtGender"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87">
  <location ref="H40:I42"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showAll="0"/>
    <pivotField showAll="0"/>
    <pivotField showAll="0"/>
    <pivotField showAll="0"/>
    <pivotField showAll="0">
      <items count="14">
        <item x="0"/>
        <item x="1"/>
        <item x="2"/>
        <item x="3"/>
        <item x="4"/>
        <item x="5"/>
        <item x="6"/>
        <item x="7"/>
        <item x="8"/>
        <item x="9"/>
        <item x="10"/>
        <item x="11"/>
        <item x="12"/>
        <item t="default"/>
      </items>
    </pivotField>
    <pivotField axis="axisRow" showAll="0">
      <items count="5">
        <item h="1" x="2"/>
        <item x="1"/>
        <item h="1" x="3"/>
        <item h="1"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2">
    <i>
      <x v="1"/>
    </i>
    <i t="grand">
      <x/>
    </i>
  </rowItems>
  <colItems count="1">
    <i/>
  </colItems>
  <dataFields count="1">
    <dataField name="Sum of Quantity" fld="2" baseField="0" baseItem="0"/>
  </dataFields>
  <chartFormats count="22">
    <chartFormat chart="4" format="3"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35" format="4" series="1">
      <pivotArea type="data" outline="0" fieldPosition="0">
        <references count="2">
          <reference field="4294967294" count="1" selected="0">
            <x v="0"/>
          </reference>
          <reference field="14" count="1" selected="0">
            <x v="0"/>
          </reference>
        </references>
      </pivotArea>
    </chartFormat>
    <chartFormat chart="35" format="5" series="1">
      <pivotArea type="data" outline="0" fieldPosition="0">
        <references count="2">
          <reference field="4294967294" count="1" selected="0">
            <x v="0"/>
          </reference>
          <reference field="14" count="1" selected="0">
            <x v="1"/>
          </reference>
        </references>
      </pivotArea>
    </chartFormat>
    <chartFormat chart="35" format="6" series="1">
      <pivotArea type="data" outline="0" fieldPosition="0">
        <references count="2">
          <reference field="4294967294" count="1" selected="0">
            <x v="0"/>
          </reference>
          <reference field="14" count="1" selected="0">
            <x v="2"/>
          </reference>
        </references>
      </pivotArea>
    </chartFormat>
    <chartFormat chart="35" format="7" series="1">
      <pivotArea type="data" outline="0" fieldPosition="0">
        <references count="2">
          <reference field="4294967294" count="1" selected="0">
            <x v="0"/>
          </reference>
          <reference field="14" count="1" selected="0">
            <x v="3"/>
          </reference>
        </references>
      </pivotArea>
    </chartFormat>
    <chartFormat chart="36" format="8" series="1">
      <pivotArea type="data" outline="0" fieldPosition="0">
        <references count="2">
          <reference field="4294967294" count="1" selected="0">
            <x v="0"/>
          </reference>
          <reference field="14" count="1" selected="0">
            <x v="0"/>
          </reference>
        </references>
      </pivotArea>
    </chartFormat>
    <chartFormat chart="36" format="9" series="1">
      <pivotArea type="data" outline="0" fieldPosition="0">
        <references count="2">
          <reference field="4294967294" count="1" selected="0">
            <x v="0"/>
          </reference>
          <reference field="14" count="1" selected="0">
            <x v="1"/>
          </reference>
        </references>
      </pivotArea>
    </chartFormat>
    <chartFormat chart="36" format="10" series="1">
      <pivotArea type="data" outline="0" fieldPosition="0">
        <references count="2">
          <reference field="4294967294" count="1" selected="0">
            <x v="0"/>
          </reference>
          <reference field="14" count="1" selected="0">
            <x v="2"/>
          </reference>
        </references>
      </pivotArea>
    </chartFormat>
    <chartFormat chart="36" format="11" series="1">
      <pivotArea type="data" outline="0" fieldPosition="0">
        <references count="2">
          <reference field="4294967294" count="1" selected="0">
            <x v="0"/>
          </reference>
          <reference field="14" count="1" selected="0">
            <x v="3"/>
          </reference>
        </references>
      </pivotArea>
    </chartFormat>
    <chartFormat chart="37" format="8" series="1">
      <pivotArea type="data" outline="0" fieldPosition="0">
        <references count="2">
          <reference field="4294967294" count="1" selected="0">
            <x v="0"/>
          </reference>
          <reference field="14" count="1" selected="0">
            <x v="0"/>
          </reference>
        </references>
      </pivotArea>
    </chartFormat>
    <chartFormat chart="37" format="9" series="1">
      <pivotArea type="data" outline="0" fieldPosition="0">
        <references count="2">
          <reference field="4294967294" count="1" selected="0">
            <x v="0"/>
          </reference>
          <reference field="14" count="1" selected="0">
            <x v="1"/>
          </reference>
        </references>
      </pivotArea>
    </chartFormat>
    <chartFormat chart="37" format="10" series="1">
      <pivotArea type="data" outline="0" fieldPosition="0">
        <references count="2">
          <reference field="4294967294" count="1" selected="0">
            <x v="0"/>
          </reference>
          <reference field="14" count="1" selected="0">
            <x v="2"/>
          </reference>
        </references>
      </pivotArea>
    </chartFormat>
    <chartFormat chart="37" format="11" series="1">
      <pivotArea type="data" outline="0" fieldPosition="0">
        <references count="2">
          <reference field="4294967294" count="1" selected="0">
            <x v="0"/>
          </reference>
          <reference field="14" count="1" selected="0">
            <x v="3"/>
          </reference>
        </references>
      </pivotArea>
    </chartFormat>
    <chartFormat chart="44" format="0" series="1">
      <pivotArea type="data" outline="0" fieldPosition="0">
        <references count="2">
          <reference field="4294967294" count="1" selected="0">
            <x v="0"/>
          </reference>
          <reference field="14" count="1" selected="0">
            <x v="0"/>
          </reference>
        </references>
      </pivotArea>
    </chartFormat>
    <chartFormat chart="44" format="1" series="1">
      <pivotArea type="data" outline="0" fieldPosition="0">
        <references count="2">
          <reference field="4294967294" count="1" selected="0">
            <x v="0"/>
          </reference>
          <reference field="14" count="1" selected="0">
            <x v="1"/>
          </reference>
        </references>
      </pivotArea>
    </chartFormat>
    <chartFormat chart="44" format="2" series="1">
      <pivotArea type="data" outline="0" fieldPosition="0">
        <references count="2">
          <reference field="4294967294" count="1" selected="0">
            <x v="0"/>
          </reference>
          <reference field="14" count="1" selected="0">
            <x v="2"/>
          </reference>
        </references>
      </pivotArea>
    </chartFormat>
    <chartFormat chart="44" format="3" series="1">
      <pivotArea type="data" outline="0" fieldPosition="0">
        <references count="2">
          <reference field="4294967294" count="1" selected="0">
            <x v="0"/>
          </reference>
          <reference field="14" count="1" selected="0">
            <x v="3"/>
          </reference>
        </references>
      </pivotArea>
    </chartFormat>
    <chartFormat chart="47" format="8" series="1">
      <pivotArea type="data" outline="0" fieldPosition="0">
        <references count="2">
          <reference field="4294967294" count="1" selected="0">
            <x v="0"/>
          </reference>
          <reference field="14" count="1" selected="0">
            <x v="0"/>
          </reference>
        </references>
      </pivotArea>
    </chartFormat>
    <chartFormat chart="47" format="9" series="1">
      <pivotArea type="data" outline="0" fieldPosition="0">
        <references count="2">
          <reference field="4294967294" count="1" selected="0">
            <x v="0"/>
          </reference>
          <reference field="14" count="1" selected="0">
            <x v="1"/>
          </reference>
        </references>
      </pivotArea>
    </chartFormat>
    <chartFormat chart="47" format="10" series="1">
      <pivotArea type="data" outline="0" fieldPosition="0">
        <references count="2">
          <reference field="4294967294" count="1" selected="0">
            <x v="0"/>
          </reference>
          <reference field="14" count="1" selected="0">
            <x v="2"/>
          </reference>
        </references>
      </pivotArea>
    </chartFormat>
    <chartFormat chart="47"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DE4D0B-31FB-4817-A9F6-155272335E40}" name="pvt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8:C22"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h="1" x="1"/>
        <item h="1" x="3"/>
        <item h="1"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5"/>
  </dataFields>
  <chartFormats count="4">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36" format="4"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8FE393-02E4-425A-A936-3000757F6337}" name="pvt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dataField="1" showAll="0"/>
    <pivotField showAll="0"/>
    <pivotField showAll="0"/>
    <pivotField dataField="1" showAll="0"/>
    <pivotField showAll="0"/>
    <pivotField showAll="0">
      <items count="5">
        <item h="1" x="2"/>
        <item x="1"/>
        <item h="1" x="3"/>
        <item h="1"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A6CC99-A58C-4FCF-8A79-2E25731050B1}" name="pvtMatri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2F938F-EC3A-4438-A20E-26EC2C64A22F}" name="pvt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3:I8"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h="1" x="1"/>
        <item h="1" x="3"/>
        <item h="1"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5">
    <i>
      <x v="1"/>
    </i>
    <i>
      <x v="2"/>
    </i>
    <i>
      <x v="3"/>
    </i>
    <i>
      <x v="4"/>
    </i>
    <i t="grand">
      <x/>
    </i>
  </colItems>
  <dataFields count="1">
    <dataField name="Count of TX ID" fld="0" subtotal="count" baseField="0" baseItem="0"/>
  </dataFields>
  <chartFormats count="18">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0" series="1">
      <pivotArea type="data" outline="0" fieldPosition="0">
        <references count="2">
          <reference field="4294967294" count="1" selected="0">
            <x v="0"/>
          </reference>
          <reference field="17" count="1" selected="0">
            <x v="1"/>
          </reference>
        </references>
      </pivotArea>
    </chartFormat>
    <chartFormat chart="9" format="1" series="1">
      <pivotArea type="data" outline="0" fieldPosition="0">
        <references count="2">
          <reference field="4294967294" count="1" selected="0">
            <x v="0"/>
          </reference>
          <reference field="17" count="1" selected="0">
            <x v="2"/>
          </reference>
        </references>
      </pivotArea>
    </chartFormat>
    <chartFormat chart="9" format="2" series="1">
      <pivotArea type="data" outline="0" fieldPosition="0">
        <references count="2">
          <reference field="4294967294" count="1" selected="0">
            <x v="0"/>
          </reference>
          <reference field="17" count="1" selected="0">
            <x v="3"/>
          </reference>
        </references>
      </pivotArea>
    </chartFormat>
    <chartFormat chart="12" format="6" series="1">
      <pivotArea type="data" outline="0" fieldPosition="0">
        <references count="2">
          <reference field="4294967294" count="1" selected="0">
            <x v="0"/>
          </reference>
          <reference field="17" count="1" selected="0">
            <x v="1"/>
          </reference>
        </references>
      </pivotArea>
    </chartFormat>
    <chartFormat chart="12" format="7" series="1">
      <pivotArea type="data" outline="0" fieldPosition="0">
        <references count="2">
          <reference field="4294967294" count="1" selected="0">
            <x v="0"/>
          </reference>
          <reference field="17" count="1" selected="0">
            <x v="2"/>
          </reference>
        </references>
      </pivotArea>
    </chartFormat>
    <chartFormat chart="12" format="8" series="1">
      <pivotArea type="data" outline="0" fieldPosition="0">
        <references count="2">
          <reference field="4294967294" count="1" selected="0">
            <x v="0"/>
          </reference>
          <reference field="17" count="1" selected="0">
            <x v="3"/>
          </reference>
        </references>
      </pivotArea>
    </chartFormat>
    <chartFormat chart="12" format="9" series="1">
      <pivotArea type="data" outline="0" fieldPosition="0">
        <references count="2">
          <reference field="4294967294" count="1" selected="0">
            <x v="0"/>
          </reference>
          <reference field="9" count="1" selected="0">
            <x v="3"/>
          </reference>
        </references>
      </pivotArea>
    </chartFormat>
    <chartFormat chart="12" format="10" series="1">
      <pivotArea type="data" outline="0" fieldPosition="0">
        <references count="2">
          <reference field="4294967294" count="1" selected="0">
            <x v="0"/>
          </reference>
          <reference field="9" count="1" selected="0">
            <x v="4"/>
          </reference>
        </references>
      </pivotArea>
    </chartFormat>
    <chartFormat chart="12" format="11" series="1">
      <pivotArea type="data" outline="0" fieldPosition="0">
        <references count="2">
          <reference field="4294967294" count="1" selected="0">
            <x v="0"/>
          </reference>
          <reference field="9" count="1" selected="0">
            <x v="0"/>
          </reference>
        </references>
      </pivotArea>
    </chartFormat>
    <chartFormat chart="12" format="12" series="1">
      <pivotArea type="data" outline="0" fieldPosition="0">
        <references count="2">
          <reference field="4294967294" count="1" selected="0">
            <x v="0"/>
          </reference>
          <reference field="9" count="1" selected="0">
            <x v="1"/>
          </reference>
        </references>
      </pivotArea>
    </chartFormat>
    <chartFormat chart="12" format="13" series="1">
      <pivotArea type="data" outline="0" fieldPosition="0">
        <references count="2">
          <reference field="4294967294" count="1" selected="0">
            <x v="0"/>
          </reference>
          <reference field="9" count="1" selected="0">
            <x v="2"/>
          </reference>
        </references>
      </pivotArea>
    </chartFormat>
    <chartFormat chart="9" format="3" series="1">
      <pivotArea type="data" outline="0" fieldPosition="0">
        <references count="2">
          <reference field="4294967294" count="1" selected="0">
            <x v="0"/>
          </reference>
          <reference field="9" count="1" selected="0">
            <x v="3"/>
          </reference>
        </references>
      </pivotArea>
    </chartFormat>
    <chartFormat chart="9" format="4" series="1">
      <pivotArea type="data" outline="0" fieldPosition="0">
        <references count="2">
          <reference field="4294967294" count="1" selected="0">
            <x v="0"/>
          </reference>
          <reference field="9" count="1" selected="0">
            <x v="4"/>
          </reference>
        </references>
      </pivotArea>
    </chartFormat>
    <chartFormat chart="9" format="5" series="1">
      <pivotArea type="data" outline="0" fieldPosition="0">
        <references count="2">
          <reference field="4294967294" count="1" selected="0">
            <x v="0"/>
          </reference>
          <reference field="9" count="1" selected="0">
            <x v="0"/>
          </reference>
        </references>
      </pivotArea>
    </chartFormat>
    <chartFormat chart="9" format="6" series="1">
      <pivotArea type="data" outline="0" fieldPosition="0">
        <references count="2">
          <reference field="4294967294" count="1" selected="0">
            <x v="0"/>
          </reference>
          <reference field="9" count="1" selected="0">
            <x v="1"/>
          </reference>
        </references>
      </pivotArea>
    </chartFormat>
    <chartFormat chart="9" format="7"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5FA452-0451-4DEA-BB6A-595D82CD63F2}" name="pvtDur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x="4"/>
        <item h="1" x="2"/>
        <item h="1"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h="1" x="1"/>
        <item h="1" x="3"/>
        <item h="1"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1">
    <i>
      <x/>
    </i>
    <i>
      <x v="1"/>
    </i>
    <i>
      <x v="2"/>
    </i>
    <i>
      <x v="3"/>
    </i>
    <i>
      <x v="4"/>
    </i>
    <i>
      <x v="5"/>
    </i>
    <i>
      <x v="6"/>
    </i>
    <i>
      <x v="8"/>
    </i>
    <i>
      <x v="9"/>
    </i>
    <i>
      <x v="11"/>
    </i>
    <i t="grand">
      <x/>
    </i>
  </rowItems>
  <colItems count="1">
    <i/>
  </colItems>
  <dataFields count="1">
    <dataField name="Count of TX ID" fld="0" subtotal="count"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6EF6D139-7B71-4DE5-8127-58F6DB2ED400}" sourceName="Order Mode">
  <pivotTables>
    <pivotTable tabId="18" name="pvtRating"/>
    <pivotTable tabId="5" name="pvtGender"/>
    <pivotTable tabId="5" name="pvtMap"/>
    <pivotTable tabId="5" name="pvtProduct"/>
    <pivotTable tabId="5" name="pvtQty"/>
    <pivotTable tabId="5" name="pvtSummary"/>
    <pivotTable tabId="5" name="pvtTrend"/>
    <pivotTable tabId="18" name="pvtDuration"/>
  </pivotTables>
  <data>
    <tabular pivotCacheId="938305510">
      <items count="5">
        <i x="0"/>
        <i x="3"/>
        <i x="4" s="1"/>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1B68AB7B-E74C-48BC-81DD-9AE8ACCB1B9A}" sourceName="Gender Value">
  <pivotTables>
    <pivotTable tabId="18" name="pvtRating"/>
    <pivotTable tabId="5" name="pvtMap"/>
    <pivotTable tabId="5" name="pvtQty"/>
    <pivotTable tabId="5" name="pvtTrend"/>
    <pivotTable tabId="18" name="pvtDuration"/>
  </pivotTables>
  <data>
    <tabular pivotCacheId="938305510">
      <items count="4">
        <i x="2" s="1"/>
        <i x="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101BDC27-1818-4E80-9360-6E097659C82F}" cache="Slicer_Order_Mode" caption="Order Mode" rowHeight="247650"/>
  <slicer name="Gender Value" xr10:uid="{8CD0537C-1F0D-42F3-8523-1C9E6DB1D689}"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8B150-63BC-4AA5-8673-17369568F82B}">
  <dimension ref="AE21:AM27"/>
  <sheetViews>
    <sheetView tabSelected="1" zoomScale="62" zoomScaleNormal="58" workbookViewId="0">
      <selection activeCell="AC31" sqref="AC31"/>
    </sheetView>
  </sheetViews>
  <sheetFormatPr defaultRowHeight="14.4" x14ac:dyDescent="0.3"/>
  <cols>
    <col min="1" max="1" width="3.77734375" customWidth="1"/>
    <col min="2" max="2" width="18.21875" customWidth="1"/>
    <col min="3" max="3" width="3.5546875" customWidth="1"/>
  </cols>
  <sheetData>
    <row r="21" spans="31:39" x14ac:dyDescent="0.3">
      <c r="AJ21" s="4"/>
      <c r="AK21" s="4"/>
      <c r="AL21" s="4"/>
      <c r="AM21" s="4"/>
    </row>
    <row r="22" spans="31:39" x14ac:dyDescent="0.3">
      <c r="AF22" s="4"/>
      <c r="AG22" s="4"/>
      <c r="AH22" s="4"/>
      <c r="AI22" s="4"/>
      <c r="AJ22" s="6"/>
      <c r="AK22" s="6"/>
      <c r="AL22" s="6"/>
      <c r="AM22" s="6"/>
    </row>
    <row r="23" spans="31:39" x14ac:dyDescent="0.3">
      <c r="AE23" s="4"/>
      <c r="AF23" s="6"/>
      <c r="AG23" s="6"/>
      <c r="AH23" s="6"/>
      <c r="AI23" s="4"/>
      <c r="AJ23" s="6"/>
      <c r="AK23" s="6"/>
      <c r="AL23" s="6"/>
      <c r="AM23" s="6"/>
    </row>
    <row r="24" spans="31:39" x14ac:dyDescent="0.3">
      <c r="AE24" s="4"/>
      <c r="AF24" s="6"/>
      <c r="AG24" s="6"/>
      <c r="AH24" s="6"/>
      <c r="AI24" s="4"/>
      <c r="AJ24" s="6"/>
      <c r="AK24" s="6"/>
      <c r="AL24" s="6"/>
      <c r="AM24" s="6"/>
    </row>
    <row r="25" spans="31:39" x14ac:dyDescent="0.3">
      <c r="AE25" s="4"/>
      <c r="AF25" s="6"/>
      <c r="AG25" s="6"/>
      <c r="AH25" s="6"/>
      <c r="AI25" s="4"/>
      <c r="AJ25" s="6"/>
      <c r="AK25" s="6"/>
      <c r="AL25" s="6"/>
      <c r="AM25" s="6"/>
    </row>
    <row r="26" spans="31:39" x14ac:dyDescent="0.3">
      <c r="AE26" s="4"/>
      <c r="AF26" s="6"/>
      <c r="AG26" s="6"/>
      <c r="AH26" s="6"/>
      <c r="AI26" s="4"/>
      <c r="AJ26" s="6"/>
      <c r="AK26" s="6"/>
      <c r="AL26" s="6"/>
      <c r="AM26" s="6"/>
    </row>
    <row r="27" spans="31:39" x14ac:dyDescent="0.3">
      <c r="AE27" s="4"/>
      <c r="AF27" s="6"/>
      <c r="AG27" s="6"/>
      <c r="AH27" s="6"/>
      <c r="AI27" s="6"/>
    </row>
  </sheetData>
  <conditionalFormatting sqref="AF27:AI27 AF23:AH26">
    <cfRule type="colorScale" priority="2">
      <colorScale>
        <cfvo type="min"/>
        <cfvo type="percentile" val="50"/>
        <cfvo type="max"/>
        <color rgb="FFF8696B"/>
        <color rgb="FFFCFCFF"/>
        <color rgb="FF5A8AC6"/>
      </colorScale>
    </cfRule>
  </conditionalFormatting>
  <conditionalFormatting sqref="AJ22:AM26">
    <cfRule type="colorScale" priority="1">
      <colorScale>
        <cfvo type="min"/>
        <cfvo type="percentile" val="50"/>
        <cfvo type="max"/>
        <color rgb="FFF8696B"/>
        <color rgb="FFFCFCFF"/>
        <color rgb="FF5A8AC6"/>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6560D-8D69-4BD5-8175-D7A099D1804C}">
  <dimension ref="A2:N272"/>
  <sheetViews>
    <sheetView zoomScale="72" zoomScaleNormal="47" workbookViewId="0">
      <selection activeCell="Q78" sqref="Q78"/>
    </sheetView>
  </sheetViews>
  <sheetFormatPr defaultRowHeight="14.4" x14ac:dyDescent="0.3"/>
  <cols>
    <col min="1" max="1" width="13.5546875" bestFit="1" customWidth="1"/>
    <col min="2" max="2" width="14.33203125" bestFit="1" customWidth="1"/>
    <col min="3" max="3" width="13.5546875" bestFit="1" customWidth="1"/>
    <col min="4" max="4" width="16.77734375" bestFit="1" customWidth="1"/>
    <col min="5" max="5" width="22.6640625" bestFit="1" customWidth="1"/>
    <col min="6" max="6" width="10.5546875" bestFit="1" customWidth="1"/>
    <col min="7" max="7" width="13.33203125" customWidth="1"/>
    <col min="8" max="8" width="13.5546875" bestFit="1" customWidth="1"/>
    <col min="9" max="9" width="14.33203125" bestFit="1" customWidth="1"/>
    <col min="10" max="10" width="5.33203125" bestFit="1" customWidth="1"/>
    <col min="11" max="11" width="5.77734375" bestFit="1" customWidth="1"/>
    <col min="12" max="12" width="16.21875" customWidth="1"/>
    <col min="13" max="13" width="32.44140625" customWidth="1"/>
    <col min="14" max="14" width="13.21875" customWidth="1"/>
    <col min="15" max="15" width="12.5546875" customWidth="1"/>
  </cols>
  <sheetData>
    <row r="2" spans="1:11" x14ac:dyDescent="0.3">
      <c r="G2" t="s">
        <v>2509</v>
      </c>
    </row>
    <row r="3" spans="1:11" x14ac:dyDescent="0.3">
      <c r="A3" t="s">
        <v>2506</v>
      </c>
      <c r="B3" t="s">
        <v>2504</v>
      </c>
      <c r="C3" t="s">
        <v>2505</v>
      </c>
      <c r="D3" t="s">
        <v>2507</v>
      </c>
      <c r="E3" t="s">
        <v>2508</v>
      </c>
      <c r="G3" t="s">
        <v>2503</v>
      </c>
      <c r="H3" t="s">
        <v>2510</v>
      </c>
      <c r="I3" t="s">
        <v>4</v>
      </c>
      <c r="J3" t="s">
        <v>2512</v>
      </c>
      <c r="K3" t="s">
        <v>2511</v>
      </c>
    </row>
    <row r="4" spans="1:11" x14ac:dyDescent="0.3">
      <c r="A4" s="17">
        <v>262</v>
      </c>
      <c r="B4" s="17">
        <v>1388</v>
      </c>
      <c r="C4" s="17">
        <v>75134.899999999994</v>
      </c>
      <c r="D4" s="17">
        <v>3.8587786259541983</v>
      </c>
      <c r="E4" s="17">
        <v>2.1984732824427482</v>
      </c>
      <c r="G4" t="str">
        <f>TEXT(A4,"#,##")</f>
        <v>262</v>
      </c>
      <c r="H4" t="str">
        <f t="shared" ref="H4" si="0">TEXT(B4,"#,##")</f>
        <v>1,388</v>
      </c>
      <c r="I4" t="str">
        <f>TEXT(C4,"$#,##,.0k")</f>
        <v>$75.1k</v>
      </c>
      <c r="J4" t="str">
        <f>TEXT(D4,"0.0")</f>
        <v>3.9</v>
      </c>
      <c r="K4" t="str">
        <f>TEXT(E4,"0.0")</f>
        <v>2.2</v>
      </c>
    </row>
    <row r="7" spans="1:11" x14ac:dyDescent="0.3">
      <c r="A7" t="s">
        <v>2528</v>
      </c>
    </row>
    <row r="8" spans="1:11" x14ac:dyDescent="0.3">
      <c r="A8" s="3" t="s">
        <v>2517</v>
      </c>
      <c r="B8" t="s">
        <v>2504</v>
      </c>
      <c r="C8" t="s">
        <v>2505</v>
      </c>
    </row>
    <row r="9" spans="1:11" x14ac:dyDescent="0.3">
      <c r="A9" s="4">
        <v>1</v>
      </c>
      <c r="B9" s="17">
        <v>16</v>
      </c>
      <c r="C9" s="16">
        <v>1590.2000000000003</v>
      </c>
    </row>
    <row r="10" spans="1:11" x14ac:dyDescent="0.3">
      <c r="A10" s="4">
        <v>2</v>
      </c>
      <c r="B10" s="17">
        <v>85</v>
      </c>
      <c r="C10" s="16">
        <v>3536.7999999999997</v>
      </c>
    </row>
    <row r="11" spans="1:11" x14ac:dyDescent="0.3">
      <c r="A11" s="4">
        <v>3</v>
      </c>
      <c r="B11" s="17">
        <v>50</v>
      </c>
      <c r="C11" s="16">
        <v>2051.4</v>
      </c>
    </row>
    <row r="12" spans="1:11" x14ac:dyDescent="0.3">
      <c r="A12" s="4">
        <v>4</v>
      </c>
      <c r="B12" s="17">
        <v>88</v>
      </c>
      <c r="C12" s="16">
        <v>4295.3</v>
      </c>
    </row>
    <row r="13" spans="1:11" x14ac:dyDescent="0.3">
      <c r="A13" s="4">
        <v>5</v>
      </c>
      <c r="B13" s="17">
        <v>80</v>
      </c>
      <c r="C13" s="16">
        <v>4311.8</v>
      </c>
    </row>
    <row r="14" spans="1:11" x14ac:dyDescent="0.3">
      <c r="A14" s="4">
        <v>6</v>
      </c>
      <c r="B14" s="17">
        <v>57</v>
      </c>
      <c r="C14" s="16">
        <v>4235.7999999999993</v>
      </c>
    </row>
    <row r="15" spans="1:11" x14ac:dyDescent="0.3">
      <c r="A15" s="4">
        <v>7</v>
      </c>
      <c r="B15" s="17">
        <v>52</v>
      </c>
      <c r="C15" s="16">
        <v>2621.6</v>
      </c>
    </row>
    <row r="16" spans="1:11" x14ac:dyDescent="0.3">
      <c r="A16" s="4">
        <v>8</v>
      </c>
      <c r="B16" s="17">
        <v>66</v>
      </c>
      <c r="C16" s="16">
        <v>4245.3999999999996</v>
      </c>
    </row>
    <row r="17" spans="1:3" x14ac:dyDescent="0.3">
      <c r="A17" s="4">
        <v>9</v>
      </c>
      <c r="B17" s="17">
        <v>36</v>
      </c>
      <c r="C17" s="16">
        <v>1537.6999999999998</v>
      </c>
    </row>
    <row r="18" spans="1:3" x14ac:dyDescent="0.3">
      <c r="A18" s="4">
        <v>10</v>
      </c>
      <c r="B18" s="17">
        <v>37</v>
      </c>
      <c r="C18" s="16">
        <v>1850.5</v>
      </c>
    </row>
    <row r="19" spans="1:3" x14ac:dyDescent="0.3">
      <c r="A19" s="4">
        <v>11</v>
      </c>
      <c r="B19" s="17">
        <v>87</v>
      </c>
      <c r="C19" s="16">
        <v>5687.3</v>
      </c>
    </row>
    <row r="20" spans="1:3" x14ac:dyDescent="0.3">
      <c r="A20" s="4">
        <v>12</v>
      </c>
      <c r="B20" s="17">
        <v>66</v>
      </c>
      <c r="C20" s="16">
        <v>2046.9</v>
      </c>
    </row>
    <row r="21" spans="1:3" x14ac:dyDescent="0.3">
      <c r="A21" s="4">
        <v>13</v>
      </c>
      <c r="B21" s="17">
        <v>69</v>
      </c>
      <c r="C21" s="16">
        <v>3199.5</v>
      </c>
    </row>
    <row r="22" spans="1:3" x14ac:dyDescent="0.3">
      <c r="A22" s="4" t="s">
        <v>2518</v>
      </c>
      <c r="B22" s="17">
        <v>789</v>
      </c>
      <c r="C22" s="16">
        <v>41210.199999999997</v>
      </c>
    </row>
    <row r="24" spans="1:3" x14ac:dyDescent="0.3">
      <c r="A24" t="s">
        <v>2525</v>
      </c>
    </row>
    <row r="25" spans="1:3" x14ac:dyDescent="0.3">
      <c r="A25" s="3" t="s">
        <v>2517</v>
      </c>
      <c r="B25" t="s">
        <v>2506</v>
      </c>
    </row>
    <row r="26" spans="1:3" x14ac:dyDescent="0.3">
      <c r="A26" s="4">
        <v>1</v>
      </c>
      <c r="B26" s="17">
        <v>16</v>
      </c>
    </row>
    <row r="27" spans="1:3" x14ac:dyDescent="0.3">
      <c r="A27" s="4">
        <v>2</v>
      </c>
      <c r="B27" s="17">
        <v>26</v>
      </c>
    </row>
    <row r="28" spans="1:3" x14ac:dyDescent="0.3">
      <c r="A28" s="4">
        <v>3</v>
      </c>
      <c r="B28" s="17">
        <v>27</v>
      </c>
    </row>
    <row r="29" spans="1:3" x14ac:dyDescent="0.3">
      <c r="A29" s="4">
        <v>4</v>
      </c>
      <c r="B29" s="17">
        <v>13</v>
      </c>
    </row>
    <row r="30" spans="1:3" x14ac:dyDescent="0.3">
      <c r="A30" s="4">
        <v>5</v>
      </c>
      <c r="B30" s="17">
        <v>12</v>
      </c>
    </row>
    <row r="31" spans="1:3" x14ac:dyDescent="0.3">
      <c r="A31" s="4" t="s">
        <v>2526</v>
      </c>
      <c r="B31" s="17">
        <v>29</v>
      </c>
    </row>
    <row r="32" spans="1:3" x14ac:dyDescent="0.3">
      <c r="A32" s="4" t="s">
        <v>2527</v>
      </c>
      <c r="B32" s="17">
        <v>16</v>
      </c>
    </row>
    <row r="33" spans="1:9" x14ac:dyDescent="0.3">
      <c r="A33" s="4" t="s">
        <v>2518</v>
      </c>
      <c r="B33" s="17">
        <v>139</v>
      </c>
    </row>
    <row r="38" spans="1:9" x14ac:dyDescent="0.3">
      <c r="A38" t="s">
        <v>2529</v>
      </c>
    </row>
    <row r="40" spans="1:9" x14ac:dyDescent="0.3">
      <c r="A40" s="3" t="s">
        <v>2504</v>
      </c>
      <c r="B40" s="3" t="s">
        <v>2519</v>
      </c>
      <c r="H40" s="3" t="s">
        <v>2517</v>
      </c>
      <c r="I40" t="s">
        <v>2504</v>
      </c>
    </row>
    <row r="41" spans="1:9" x14ac:dyDescent="0.3">
      <c r="A41" s="3" t="s">
        <v>2517</v>
      </c>
      <c r="B41" t="s">
        <v>2514</v>
      </c>
      <c r="C41" t="s">
        <v>2518</v>
      </c>
      <c r="H41" s="4" t="s">
        <v>2514</v>
      </c>
      <c r="I41" s="17">
        <v>510</v>
      </c>
    </row>
    <row r="42" spans="1:9" x14ac:dyDescent="0.3">
      <c r="A42" s="4" t="s">
        <v>39</v>
      </c>
      <c r="B42" s="17">
        <v>108</v>
      </c>
      <c r="C42" s="17">
        <v>108</v>
      </c>
      <c r="H42" s="4" t="s">
        <v>2518</v>
      </c>
      <c r="I42" s="17">
        <v>510</v>
      </c>
    </row>
    <row r="43" spans="1:9" x14ac:dyDescent="0.3">
      <c r="A43" s="4" t="s">
        <v>54</v>
      </c>
      <c r="B43" s="17">
        <v>61</v>
      </c>
      <c r="C43" s="17">
        <v>61</v>
      </c>
    </row>
    <row r="44" spans="1:9" x14ac:dyDescent="0.3">
      <c r="A44" s="4" t="s">
        <v>22</v>
      </c>
      <c r="B44" s="17">
        <v>47</v>
      </c>
      <c r="C44" s="17">
        <v>47</v>
      </c>
    </row>
    <row r="45" spans="1:9" x14ac:dyDescent="0.3">
      <c r="A45" s="4" t="s">
        <v>26</v>
      </c>
      <c r="B45" s="17">
        <v>39</v>
      </c>
      <c r="C45" s="17">
        <v>39</v>
      </c>
    </row>
    <row r="46" spans="1:9" x14ac:dyDescent="0.3">
      <c r="A46" s="4" t="s">
        <v>37</v>
      </c>
      <c r="B46" s="17">
        <v>39</v>
      </c>
      <c r="C46" s="17">
        <v>39</v>
      </c>
    </row>
    <row r="47" spans="1:9" x14ac:dyDescent="0.3">
      <c r="A47" s="4" t="s">
        <v>44</v>
      </c>
      <c r="B47" s="17">
        <v>34</v>
      </c>
      <c r="C47" s="17">
        <v>34</v>
      </c>
    </row>
    <row r="48" spans="1:9" x14ac:dyDescent="0.3">
      <c r="A48" s="4" t="s">
        <v>46</v>
      </c>
      <c r="B48" s="17">
        <v>34</v>
      </c>
      <c r="C48" s="17">
        <v>34</v>
      </c>
    </row>
    <row r="49" spans="1:3" x14ac:dyDescent="0.3">
      <c r="A49" s="4" t="s">
        <v>135</v>
      </c>
      <c r="B49" s="17">
        <v>29</v>
      </c>
      <c r="C49" s="17">
        <v>29</v>
      </c>
    </row>
    <row r="50" spans="1:3" x14ac:dyDescent="0.3">
      <c r="A50" s="4" t="s">
        <v>16</v>
      </c>
      <c r="B50" s="17">
        <v>28</v>
      </c>
      <c r="C50" s="17">
        <v>28</v>
      </c>
    </row>
    <row r="51" spans="1:3" x14ac:dyDescent="0.3">
      <c r="A51" s="4" t="s">
        <v>146</v>
      </c>
      <c r="B51" s="17">
        <v>26</v>
      </c>
      <c r="C51" s="17">
        <v>26</v>
      </c>
    </row>
    <row r="52" spans="1:3" x14ac:dyDescent="0.3">
      <c r="A52" s="4" t="s">
        <v>30</v>
      </c>
      <c r="B52" s="17">
        <v>20</v>
      </c>
      <c r="C52" s="17">
        <v>20</v>
      </c>
    </row>
    <row r="53" spans="1:3" x14ac:dyDescent="0.3">
      <c r="A53" s="4" t="s">
        <v>42</v>
      </c>
      <c r="B53" s="17">
        <v>13</v>
      </c>
      <c r="C53" s="17">
        <v>13</v>
      </c>
    </row>
    <row r="54" spans="1:3" x14ac:dyDescent="0.3">
      <c r="A54" s="4" t="s">
        <v>32</v>
      </c>
      <c r="B54" s="17">
        <v>10</v>
      </c>
      <c r="C54" s="17">
        <v>10</v>
      </c>
    </row>
    <row r="55" spans="1:3" x14ac:dyDescent="0.3">
      <c r="A55" s="4" t="s">
        <v>171</v>
      </c>
      <c r="B55" s="17">
        <v>8</v>
      </c>
      <c r="C55" s="17">
        <v>8</v>
      </c>
    </row>
    <row r="56" spans="1:3" x14ac:dyDescent="0.3">
      <c r="A56" s="4" t="s">
        <v>123</v>
      </c>
      <c r="B56" s="17">
        <v>6</v>
      </c>
      <c r="C56" s="17">
        <v>6</v>
      </c>
    </row>
    <row r="57" spans="1:3" x14ac:dyDescent="0.3">
      <c r="A57" s="4" t="s">
        <v>76</v>
      </c>
      <c r="B57" s="17">
        <v>6</v>
      </c>
      <c r="C57" s="17">
        <v>6</v>
      </c>
    </row>
    <row r="58" spans="1:3" x14ac:dyDescent="0.3">
      <c r="A58" s="4" t="s">
        <v>69</v>
      </c>
      <c r="B58" s="17">
        <v>2</v>
      </c>
      <c r="C58" s="17">
        <v>2</v>
      </c>
    </row>
    <row r="59" spans="1:3" x14ac:dyDescent="0.3">
      <c r="A59" s="4" t="s">
        <v>2518</v>
      </c>
      <c r="B59" s="17">
        <v>510</v>
      </c>
      <c r="C59" s="17">
        <v>510</v>
      </c>
    </row>
    <row r="67" spans="1:14" x14ac:dyDescent="0.3">
      <c r="A67" t="s">
        <v>2530</v>
      </c>
    </row>
    <row r="68" spans="1:14" x14ac:dyDescent="0.3">
      <c r="G68" t="s">
        <v>2531</v>
      </c>
      <c r="L68" t="s">
        <v>2532</v>
      </c>
    </row>
    <row r="69" spans="1:14" x14ac:dyDescent="0.3">
      <c r="A69" s="3" t="s">
        <v>10</v>
      </c>
      <c r="B69" s="3" t="s">
        <v>11</v>
      </c>
      <c r="C69" t="s">
        <v>2504</v>
      </c>
      <c r="D69" t="s">
        <v>2505</v>
      </c>
      <c r="G69" t="s">
        <v>10</v>
      </c>
      <c r="H69" t="s">
        <v>11</v>
      </c>
      <c r="I69" t="s">
        <v>2510</v>
      </c>
      <c r="L69" t="s">
        <v>10</v>
      </c>
      <c r="M69" t="s">
        <v>11</v>
      </c>
      <c r="N69" t="s">
        <v>4</v>
      </c>
    </row>
    <row r="70" spans="1:14" x14ac:dyDescent="0.3">
      <c r="A70" t="s">
        <v>19</v>
      </c>
      <c r="B70" t="s">
        <v>115</v>
      </c>
      <c r="C70" s="17">
        <v>50</v>
      </c>
      <c r="D70" s="17">
        <v>3678.8999999999996</v>
      </c>
      <c r="G70" t="str">
        <f>IF(A70="","",A70)</f>
        <v>California</v>
      </c>
      <c r="H70" t="str">
        <f t="shared" ref="H70:I70" si="1">IF(B70="","",B70)</f>
        <v>Alameda County</v>
      </c>
      <c r="I70">
        <f t="shared" si="1"/>
        <v>50</v>
      </c>
      <c r="L70" t="str">
        <f>IF(A70="","",A70)</f>
        <v>California</v>
      </c>
      <c r="M70" t="str">
        <f t="shared" ref="M70:N70" si="2">IF(B70="","",B70)</f>
        <v>Alameda County</v>
      </c>
      <c r="N70">
        <f t="shared" si="2"/>
        <v>50</v>
      </c>
    </row>
    <row r="71" spans="1:14" x14ac:dyDescent="0.3">
      <c r="A71" t="s">
        <v>19</v>
      </c>
      <c r="B71" t="s">
        <v>967</v>
      </c>
      <c r="C71" s="17">
        <v>9</v>
      </c>
      <c r="D71" s="17">
        <v>189.9</v>
      </c>
      <c r="G71" t="str">
        <f t="shared" ref="G71:G87" si="3">IF(A71="","",A71)</f>
        <v>California</v>
      </c>
      <c r="H71" t="str">
        <f t="shared" ref="H71:H87" si="4">IF(B71="","",B71)</f>
        <v>Butte County</v>
      </c>
      <c r="I71">
        <f t="shared" ref="I71:I87" si="5">IF(C71="","",C71)</f>
        <v>9</v>
      </c>
      <c r="L71" t="str">
        <f t="shared" ref="L71:L134" si="6">IF(A71="","",A71)</f>
        <v>California</v>
      </c>
      <c r="M71" t="str">
        <f t="shared" ref="M71:M134" si="7">IF(B71="","",B71)</f>
        <v>Butte County</v>
      </c>
      <c r="N71">
        <f t="shared" ref="N71:N134" si="8">IF(C71="","",C71)</f>
        <v>9</v>
      </c>
    </row>
    <row r="72" spans="1:14" x14ac:dyDescent="0.3">
      <c r="A72" t="s">
        <v>19</v>
      </c>
      <c r="B72" t="s">
        <v>24</v>
      </c>
      <c r="C72" s="17">
        <v>43</v>
      </c>
      <c r="D72" s="17">
        <v>2294.5</v>
      </c>
      <c r="G72" t="str">
        <f t="shared" si="3"/>
        <v>California</v>
      </c>
      <c r="H72" t="str">
        <f t="shared" si="4"/>
        <v>Contra Costa County</v>
      </c>
      <c r="I72">
        <f t="shared" si="5"/>
        <v>43</v>
      </c>
      <c r="L72" t="str">
        <f t="shared" si="6"/>
        <v>California</v>
      </c>
      <c r="M72" t="str">
        <f t="shared" si="7"/>
        <v>Contra Costa County</v>
      </c>
      <c r="N72">
        <f t="shared" si="8"/>
        <v>43</v>
      </c>
    </row>
    <row r="73" spans="1:14" x14ac:dyDescent="0.3">
      <c r="A73" t="s">
        <v>19</v>
      </c>
      <c r="B73" t="s">
        <v>28</v>
      </c>
      <c r="C73" s="17">
        <v>15</v>
      </c>
      <c r="D73" s="17">
        <v>231.6</v>
      </c>
      <c r="G73" t="str">
        <f t="shared" si="3"/>
        <v>California</v>
      </c>
      <c r="H73" t="str">
        <f t="shared" si="4"/>
        <v>Fresno County</v>
      </c>
      <c r="I73">
        <f t="shared" si="5"/>
        <v>15</v>
      </c>
      <c r="L73" t="str">
        <f t="shared" si="6"/>
        <v>California</v>
      </c>
      <c r="M73" t="str">
        <f t="shared" si="7"/>
        <v>Fresno County</v>
      </c>
      <c r="N73">
        <f t="shared" si="8"/>
        <v>15</v>
      </c>
    </row>
    <row r="74" spans="1:14" x14ac:dyDescent="0.3">
      <c r="A74" t="s">
        <v>19</v>
      </c>
      <c r="B74" t="s">
        <v>587</v>
      </c>
      <c r="C74" s="17">
        <v>2</v>
      </c>
      <c r="D74" s="17">
        <v>145.4</v>
      </c>
      <c r="G74" t="str">
        <f t="shared" si="3"/>
        <v>California</v>
      </c>
      <c r="H74" t="str">
        <f t="shared" si="4"/>
        <v>Humboldt County</v>
      </c>
      <c r="I74">
        <f t="shared" si="5"/>
        <v>2</v>
      </c>
      <c r="L74" t="str">
        <f t="shared" si="6"/>
        <v>California</v>
      </c>
      <c r="M74" t="str">
        <f t="shared" si="7"/>
        <v>Humboldt County</v>
      </c>
      <c r="N74">
        <f t="shared" si="8"/>
        <v>2</v>
      </c>
    </row>
    <row r="75" spans="1:14" x14ac:dyDescent="0.3">
      <c r="A75" t="s">
        <v>19</v>
      </c>
      <c r="B75" t="s">
        <v>147</v>
      </c>
      <c r="C75" s="17">
        <v>10</v>
      </c>
      <c r="D75" s="17">
        <v>937.59999999999991</v>
      </c>
      <c r="G75" t="str">
        <f t="shared" si="3"/>
        <v>California</v>
      </c>
      <c r="H75" t="str">
        <f t="shared" si="4"/>
        <v>Kern County</v>
      </c>
      <c r="I75">
        <f t="shared" si="5"/>
        <v>10</v>
      </c>
      <c r="L75" t="str">
        <f t="shared" si="6"/>
        <v>California</v>
      </c>
      <c r="M75" t="str">
        <f t="shared" si="7"/>
        <v>Kern County</v>
      </c>
      <c r="N75">
        <f t="shared" si="8"/>
        <v>10</v>
      </c>
    </row>
    <row r="76" spans="1:14" x14ac:dyDescent="0.3">
      <c r="A76" t="s">
        <v>19</v>
      </c>
      <c r="B76" t="s">
        <v>334</v>
      </c>
      <c r="C76" s="17">
        <v>8</v>
      </c>
      <c r="D76" s="17">
        <v>441.8</v>
      </c>
      <c r="G76" t="str">
        <f t="shared" si="3"/>
        <v>California</v>
      </c>
      <c r="H76" t="str">
        <f t="shared" si="4"/>
        <v>Kings County</v>
      </c>
      <c r="I76">
        <f t="shared" si="5"/>
        <v>8</v>
      </c>
      <c r="L76" t="str">
        <f t="shared" si="6"/>
        <v>California</v>
      </c>
      <c r="M76" t="str">
        <f t="shared" si="7"/>
        <v>Kings County</v>
      </c>
      <c r="N76">
        <f t="shared" si="8"/>
        <v>8</v>
      </c>
    </row>
    <row r="77" spans="1:14" x14ac:dyDescent="0.3">
      <c r="A77" t="s">
        <v>19</v>
      </c>
      <c r="B77" t="s">
        <v>33</v>
      </c>
      <c r="C77" s="17">
        <v>300</v>
      </c>
      <c r="D77" s="17">
        <v>14741.699999999993</v>
      </c>
      <c r="G77" t="str">
        <f t="shared" si="3"/>
        <v>California</v>
      </c>
      <c r="H77" t="str">
        <f t="shared" si="4"/>
        <v>Los Angeles County</v>
      </c>
      <c r="I77">
        <f t="shared" si="5"/>
        <v>300</v>
      </c>
      <c r="L77" t="str">
        <f t="shared" si="6"/>
        <v>California</v>
      </c>
      <c r="M77" t="str">
        <f t="shared" si="7"/>
        <v>Los Angeles County</v>
      </c>
      <c r="N77">
        <f t="shared" si="8"/>
        <v>300</v>
      </c>
    </row>
    <row r="78" spans="1:14" x14ac:dyDescent="0.3">
      <c r="A78" t="s">
        <v>19</v>
      </c>
      <c r="B78" t="s">
        <v>364</v>
      </c>
      <c r="C78" s="17">
        <v>8</v>
      </c>
      <c r="D78" s="17">
        <v>592</v>
      </c>
      <c r="G78" t="str">
        <f t="shared" si="3"/>
        <v>California</v>
      </c>
      <c r="H78" t="str">
        <f t="shared" si="4"/>
        <v>Madera County</v>
      </c>
      <c r="I78">
        <f t="shared" si="5"/>
        <v>8</v>
      </c>
      <c r="L78" t="str">
        <f t="shared" si="6"/>
        <v>California</v>
      </c>
      <c r="M78" t="str">
        <f t="shared" si="7"/>
        <v>Madera County</v>
      </c>
      <c r="N78">
        <f t="shared" si="8"/>
        <v>8</v>
      </c>
    </row>
    <row r="79" spans="1:14" x14ac:dyDescent="0.3">
      <c r="A79" t="s">
        <v>19</v>
      </c>
      <c r="B79" t="s">
        <v>545</v>
      </c>
      <c r="C79" s="17">
        <v>2</v>
      </c>
      <c r="D79" s="17">
        <v>83.4</v>
      </c>
      <c r="G79" t="str">
        <f t="shared" si="3"/>
        <v>California</v>
      </c>
      <c r="H79" t="str">
        <f t="shared" si="4"/>
        <v>Marin County</v>
      </c>
      <c r="I79">
        <f t="shared" si="5"/>
        <v>2</v>
      </c>
      <c r="L79" t="str">
        <f t="shared" si="6"/>
        <v>California</v>
      </c>
      <c r="M79" t="str">
        <f t="shared" si="7"/>
        <v>Marin County</v>
      </c>
      <c r="N79">
        <f t="shared" si="8"/>
        <v>2</v>
      </c>
    </row>
    <row r="80" spans="1:14" x14ac:dyDescent="0.3">
      <c r="A80" t="s">
        <v>19</v>
      </c>
      <c r="B80" t="s">
        <v>98</v>
      </c>
      <c r="C80" s="17">
        <v>2</v>
      </c>
      <c r="D80" s="17">
        <v>152.19999999999999</v>
      </c>
      <c r="G80" t="str">
        <f t="shared" si="3"/>
        <v>California</v>
      </c>
      <c r="H80" t="str">
        <f t="shared" si="4"/>
        <v>Napa County</v>
      </c>
      <c r="I80">
        <f t="shared" si="5"/>
        <v>2</v>
      </c>
      <c r="L80" t="str">
        <f t="shared" si="6"/>
        <v>California</v>
      </c>
      <c r="M80" t="str">
        <f t="shared" si="7"/>
        <v>Napa County</v>
      </c>
      <c r="N80">
        <f t="shared" si="8"/>
        <v>2</v>
      </c>
    </row>
    <row r="81" spans="1:14" x14ac:dyDescent="0.3">
      <c r="A81" t="s">
        <v>19</v>
      </c>
      <c r="B81" t="s">
        <v>158</v>
      </c>
      <c r="C81" s="17">
        <v>26</v>
      </c>
      <c r="D81" s="17">
        <v>701.59999999999991</v>
      </c>
      <c r="G81" t="str">
        <f t="shared" si="3"/>
        <v>California</v>
      </c>
      <c r="H81" t="str">
        <f t="shared" si="4"/>
        <v>Riverside County</v>
      </c>
      <c r="I81">
        <f t="shared" si="5"/>
        <v>26</v>
      </c>
      <c r="L81" t="str">
        <f t="shared" si="6"/>
        <v>California</v>
      </c>
      <c r="M81" t="str">
        <f t="shared" si="7"/>
        <v>Riverside County</v>
      </c>
      <c r="N81">
        <f t="shared" si="8"/>
        <v>26</v>
      </c>
    </row>
    <row r="82" spans="1:14" x14ac:dyDescent="0.3">
      <c r="A82" t="s">
        <v>19</v>
      </c>
      <c r="B82" t="s">
        <v>55</v>
      </c>
      <c r="C82" s="17">
        <v>11</v>
      </c>
      <c r="D82" s="17">
        <v>627.4</v>
      </c>
      <c r="G82" t="str">
        <f t="shared" si="3"/>
        <v>California</v>
      </c>
      <c r="H82" t="str">
        <f t="shared" si="4"/>
        <v>Sacramento County</v>
      </c>
      <c r="I82">
        <f t="shared" si="5"/>
        <v>11</v>
      </c>
      <c r="L82" t="str">
        <f t="shared" si="6"/>
        <v>California</v>
      </c>
      <c r="M82" t="str">
        <f t="shared" si="7"/>
        <v>Sacramento County</v>
      </c>
      <c r="N82">
        <f t="shared" si="8"/>
        <v>11</v>
      </c>
    </row>
    <row r="83" spans="1:14" x14ac:dyDescent="0.3">
      <c r="A83" t="s">
        <v>19</v>
      </c>
      <c r="B83" t="s">
        <v>59</v>
      </c>
      <c r="C83" s="17">
        <v>19</v>
      </c>
      <c r="D83" s="17">
        <v>1133.1999999999998</v>
      </c>
      <c r="G83" t="str">
        <f t="shared" si="3"/>
        <v>California</v>
      </c>
      <c r="H83" t="str">
        <f t="shared" si="4"/>
        <v>San Bernardino County</v>
      </c>
      <c r="I83">
        <f t="shared" si="5"/>
        <v>19</v>
      </c>
      <c r="L83" t="str">
        <f t="shared" si="6"/>
        <v>California</v>
      </c>
      <c r="M83" t="str">
        <f t="shared" si="7"/>
        <v>San Bernardino County</v>
      </c>
      <c r="N83">
        <f t="shared" si="8"/>
        <v>19</v>
      </c>
    </row>
    <row r="84" spans="1:14" x14ac:dyDescent="0.3">
      <c r="A84" t="s">
        <v>19</v>
      </c>
      <c r="B84" t="s">
        <v>62</v>
      </c>
      <c r="C84" s="17">
        <v>97</v>
      </c>
      <c r="D84" s="17">
        <v>5690.1</v>
      </c>
      <c r="G84" t="str">
        <f t="shared" si="3"/>
        <v>California</v>
      </c>
      <c r="H84" t="str">
        <f t="shared" si="4"/>
        <v>San Diego County</v>
      </c>
      <c r="I84">
        <f t="shared" si="5"/>
        <v>97</v>
      </c>
      <c r="L84" t="str">
        <f t="shared" si="6"/>
        <v>California</v>
      </c>
      <c r="M84" t="str">
        <f t="shared" si="7"/>
        <v>San Diego County</v>
      </c>
      <c r="N84">
        <f t="shared" si="8"/>
        <v>97</v>
      </c>
    </row>
    <row r="85" spans="1:14" x14ac:dyDescent="0.3">
      <c r="A85" t="s">
        <v>19</v>
      </c>
      <c r="B85" t="s">
        <v>103</v>
      </c>
      <c r="C85" s="17">
        <v>7</v>
      </c>
      <c r="D85" s="17">
        <v>480.19999999999993</v>
      </c>
      <c r="G85" t="str">
        <f t="shared" si="3"/>
        <v>California</v>
      </c>
      <c r="H85" t="str">
        <f t="shared" si="4"/>
        <v>San Francisco</v>
      </c>
      <c r="I85">
        <f t="shared" si="5"/>
        <v>7</v>
      </c>
      <c r="L85" t="str">
        <f t="shared" si="6"/>
        <v>California</v>
      </c>
      <c r="M85" t="str">
        <f t="shared" si="7"/>
        <v>San Francisco</v>
      </c>
      <c r="N85">
        <f t="shared" si="8"/>
        <v>7</v>
      </c>
    </row>
    <row r="86" spans="1:14" x14ac:dyDescent="0.3">
      <c r="A86" t="s">
        <v>19</v>
      </c>
      <c r="B86" t="s">
        <v>201</v>
      </c>
      <c r="C86" s="17">
        <v>36</v>
      </c>
      <c r="D86" s="17">
        <v>2524.1000000000004</v>
      </c>
      <c r="G86" t="str">
        <f t="shared" si="3"/>
        <v>California</v>
      </c>
      <c r="H86" t="str">
        <f t="shared" si="4"/>
        <v>San Joaquin County</v>
      </c>
      <c r="I86">
        <f t="shared" si="5"/>
        <v>36</v>
      </c>
      <c r="L86" t="str">
        <f t="shared" si="6"/>
        <v>California</v>
      </c>
      <c r="M86" t="str">
        <f t="shared" si="7"/>
        <v>San Joaquin County</v>
      </c>
      <c r="N86">
        <f t="shared" si="8"/>
        <v>36</v>
      </c>
    </row>
    <row r="87" spans="1:14" x14ac:dyDescent="0.3">
      <c r="A87" t="s">
        <v>19</v>
      </c>
      <c r="B87" t="s">
        <v>72</v>
      </c>
      <c r="C87" s="17">
        <v>45</v>
      </c>
      <c r="D87" s="17">
        <v>1921.4</v>
      </c>
      <c r="G87" t="str">
        <f t="shared" si="3"/>
        <v>California</v>
      </c>
      <c r="H87" t="str">
        <f t="shared" si="4"/>
        <v>San Mateo County</v>
      </c>
      <c r="I87">
        <f t="shared" si="5"/>
        <v>45</v>
      </c>
      <c r="L87" t="str">
        <f t="shared" si="6"/>
        <v>California</v>
      </c>
      <c r="M87" t="str">
        <f t="shared" si="7"/>
        <v>San Mateo County</v>
      </c>
      <c r="N87">
        <f t="shared" si="8"/>
        <v>45</v>
      </c>
    </row>
    <row r="88" spans="1:14" x14ac:dyDescent="0.3">
      <c r="A88" t="s">
        <v>19</v>
      </c>
      <c r="B88" t="s">
        <v>77</v>
      </c>
      <c r="C88" s="17">
        <v>40</v>
      </c>
      <c r="D88" s="17">
        <v>1498.4</v>
      </c>
      <c r="G88" t="str">
        <f t="shared" ref="G88:G151" si="9">IF(A88="","",A88)</f>
        <v>California</v>
      </c>
      <c r="H88" t="str">
        <f t="shared" ref="H88:H151" si="10">IF(B88="","",B88)</f>
        <v>Santa Clara County</v>
      </c>
      <c r="I88">
        <f t="shared" ref="I88:I151" si="11">IF(C88="","",C88)</f>
        <v>40</v>
      </c>
      <c r="L88" t="str">
        <f t="shared" si="6"/>
        <v>California</v>
      </c>
      <c r="M88" t="str">
        <f t="shared" si="7"/>
        <v>Santa Clara County</v>
      </c>
      <c r="N88">
        <f t="shared" si="8"/>
        <v>40</v>
      </c>
    </row>
    <row r="89" spans="1:14" x14ac:dyDescent="0.3">
      <c r="A89" t="s">
        <v>19</v>
      </c>
      <c r="B89" t="s">
        <v>268</v>
      </c>
      <c r="C89" s="17">
        <v>3</v>
      </c>
      <c r="D89" s="17">
        <v>137.10000000000002</v>
      </c>
      <c r="G89" t="str">
        <f t="shared" si="9"/>
        <v>California</v>
      </c>
      <c r="H89" t="str">
        <f t="shared" si="10"/>
        <v>Siskiyou County</v>
      </c>
      <c r="I89">
        <f t="shared" si="11"/>
        <v>3</v>
      </c>
      <c r="L89" t="str">
        <f t="shared" si="6"/>
        <v>California</v>
      </c>
      <c r="M89" t="str">
        <f t="shared" si="7"/>
        <v>Siskiyou County</v>
      </c>
      <c r="N89">
        <f t="shared" si="8"/>
        <v>3</v>
      </c>
    </row>
    <row r="90" spans="1:14" x14ac:dyDescent="0.3">
      <c r="A90" t="s">
        <v>19</v>
      </c>
      <c r="B90" t="s">
        <v>108</v>
      </c>
      <c r="C90" s="17">
        <v>22</v>
      </c>
      <c r="D90" s="17">
        <v>1911.5</v>
      </c>
      <c r="G90" t="str">
        <f t="shared" si="9"/>
        <v>California</v>
      </c>
      <c r="H90" t="str">
        <f t="shared" si="10"/>
        <v>Sonoma County</v>
      </c>
      <c r="I90">
        <f t="shared" si="11"/>
        <v>22</v>
      </c>
      <c r="L90" t="str">
        <f t="shared" si="6"/>
        <v>California</v>
      </c>
      <c r="M90" t="str">
        <f t="shared" si="7"/>
        <v>Sonoma County</v>
      </c>
      <c r="N90">
        <f t="shared" si="8"/>
        <v>22</v>
      </c>
    </row>
    <row r="91" spans="1:14" x14ac:dyDescent="0.3">
      <c r="A91" t="s">
        <v>19</v>
      </c>
      <c r="B91" t="s">
        <v>110</v>
      </c>
      <c r="C91" s="17">
        <v>6</v>
      </c>
      <c r="D91" s="17">
        <v>214.20000000000002</v>
      </c>
      <c r="G91" t="str">
        <f t="shared" si="9"/>
        <v>California</v>
      </c>
      <c r="H91" t="str">
        <f t="shared" si="10"/>
        <v>Stanislaus County</v>
      </c>
      <c r="I91">
        <f t="shared" si="11"/>
        <v>6</v>
      </c>
      <c r="L91" t="str">
        <f t="shared" si="6"/>
        <v>California</v>
      </c>
      <c r="M91" t="str">
        <f t="shared" si="7"/>
        <v>Stanislaus County</v>
      </c>
      <c r="N91">
        <f t="shared" si="8"/>
        <v>6</v>
      </c>
    </row>
    <row r="92" spans="1:14" x14ac:dyDescent="0.3">
      <c r="A92" t="s">
        <v>19</v>
      </c>
      <c r="B92" t="s">
        <v>82</v>
      </c>
      <c r="C92" s="17">
        <v>28</v>
      </c>
      <c r="D92" s="17">
        <v>882</v>
      </c>
      <c r="G92" t="str">
        <f t="shared" si="9"/>
        <v>California</v>
      </c>
      <c r="H92" t="str">
        <f t="shared" si="10"/>
        <v>Ventura County</v>
      </c>
      <c r="I92">
        <f t="shared" si="11"/>
        <v>28</v>
      </c>
      <c r="L92" t="str">
        <f t="shared" si="6"/>
        <v>California</v>
      </c>
      <c r="M92" t="str">
        <f t="shared" si="7"/>
        <v>Ventura County</v>
      </c>
      <c r="N92">
        <f t="shared" si="8"/>
        <v>28</v>
      </c>
    </row>
    <row r="93" spans="1:14" x14ac:dyDescent="0.3">
      <c r="G93" t="str">
        <f t="shared" si="9"/>
        <v/>
      </c>
      <c r="H93" t="str">
        <f t="shared" si="10"/>
        <v/>
      </c>
      <c r="I93" t="str">
        <f t="shared" si="11"/>
        <v/>
      </c>
      <c r="L93" t="str">
        <f t="shared" si="6"/>
        <v/>
      </c>
      <c r="M93" t="str">
        <f t="shared" si="7"/>
        <v/>
      </c>
      <c r="N93" t="str">
        <f t="shared" si="8"/>
        <v/>
      </c>
    </row>
    <row r="94" spans="1:14" x14ac:dyDescent="0.3">
      <c r="G94" t="str">
        <f t="shared" si="9"/>
        <v/>
      </c>
      <c r="H94" t="str">
        <f t="shared" si="10"/>
        <v/>
      </c>
      <c r="I94" t="str">
        <f t="shared" si="11"/>
        <v/>
      </c>
      <c r="L94" t="str">
        <f t="shared" si="6"/>
        <v/>
      </c>
      <c r="M94" t="str">
        <f t="shared" si="7"/>
        <v/>
      </c>
      <c r="N94" t="str">
        <f t="shared" si="8"/>
        <v/>
      </c>
    </row>
    <row r="95" spans="1:14" x14ac:dyDescent="0.3">
      <c r="G95" t="str">
        <f t="shared" si="9"/>
        <v/>
      </c>
      <c r="H95" t="str">
        <f t="shared" si="10"/>
        <v/>
      </c>
      <c r="I95" t="str">
        <f t="shared" si="11"/>
        <v/>
      </c>
      <c r="L95" t="str">
        <f t="shared" si="6"/>
        <v/>
      </c>
      <c r="M95" t="str">
        <f t="shared" si="7"/>
        <v/>
      </c>
      <c r="N95" t="str">
        <f t="shared" si="8"/>
        <v/>
      </c>
    </row>
    <row r="96" spans="1:14" x14ac:dyDescent="0.3">
      <c r="G96" t="str">
        <f t="shared" si="9"/>
        <v/>
      </c>
      <c r="H96" t="str">
        <f t="shared" si="10"/>
        <v/>
      </c>
      <c r="I96" t="str">
        <f t="shared" si="11"/>
        <v/>
      </c>
      <c r="L96" t="str">
        <f t="shared" si="6"/>
        <v/>
      </c>
      <c r="M96" t="str">
        <f t="shared" si="7"/>
        <v/>
      </c>
      <c r="N96" t="str">
        <f t="shared" si="8"/>
        <v/>
      </c>
    </row>
    <row r="97" spans="7:14" x14ac:dyDescent="0.3">
      <c r="G97" t="str">
        <f t="shared" si="9"/>
        <v/>
      </c>
      <c r="H97" t="str">
        <f t="shared" si="10"/>
        <v/>
      </c>
      <c r="I97" t="str">
        <f t="shared" si="11"/>
        <v/>
      </c>
      <c r="L97" t="str">
        <f t="shared" si="6"/>
        <v/>
      </c>
      <c r="M97" t="str">
        <f t="shared" si="7"/>
        <v/>
      </c>
      <c r="N97" t="str">
        <f t="shared" si="8"/>
        <v/>
      </c>
    </row>
    <row r="98" spans="7:14" x14ac:dyDescent="0.3">
      <c r="G98" t="str">
        <f t="shared" si="9"/>
        <v/>
      </c>
      <c r="H98" t="str">
        <f t="shared" si="10"/>
        <v/>
      </c>
      <c r="I98" t="str">
        <f t="shared" si="11"/>
        <v/>
      </c>
      <c r="L98" t="str">
        <f t="shared" si="6"/>
        <v/>
      </c>
      <c r="M98" t="str">
        <f t="shared" si="7"/>
        <v/>
      </c>
      <c r="N98" t="str">
        <f t="shared" si="8"/>
        <v/>
      </c>
    </row>
    <row r="99" spans="7:14" x14ac:dyDescent="0.3">
      <c r="G99" t="str">
        <f t="shared" si="9"/>
        <v/>
      </c>
      <c r="H99" t="str">
        <f t="shared" si="10"/>
        <v/>
      </c>
      <c r="I99" t="str">
        <f t="shared" si="11"/>
        <v/>
      </c>
      <c r="L99" t="str">
        <f t="shared" si="6"/>
        <v/>
      </c>
      <c r="M99" t="str">
        <f t="shared" si="7"/>
        <v/>
      </c>
      <c r="N99" t="str">
        <f t="shared" si="8"/>
        <v/>
      </c>
    </row>
    <row r="100" spans="7:14" x14ac:dyDescent="0.3">
      <c r="G100" t="str">
        <f t="shared" si="9"/>
        <v/>
      </c>
      <c r="H100" t="str">
        <f t="shared" si="10"/>
        <v/>
      </c>
      <c r="I100" t="str">
        <f t="shared" si="11"/>
        <v/>
      </c>
      <c r="L100" t="str">
        <f t="shared" si="6"/>
        <v/>
      </c>
      <c r="M100" t="str">
        <f t="shared" si="7"/>
        <v/>
      </c>
      <c r="N100" t="str">
        <f t="shared" si="8"/>
        <v/>
      </c>
    </row>
    <row r="101" spans="7:14" x14ac:dyDescent="0.3">
      <c r="G101" t="str">
        <f t="shared" si="9"/>
        <v/>
      </c>
      <c r="H101" t="str">
        <f t="shared" si="10"/>
        <v/>
      </c>
      <c r="I101" t="str">
        <f t="shared" si="11"/>
        <v/>
      </c>
      <c r="L101" t="str">
        <f t="shared" si="6"/>
        <v/>
      </c>
      <c r="M101" t="str">
        <f t="shared" si="7"/>
        <v/>
      </c>
      <c r="N101" t="str">
        <f t="shared" si="8"/>
        <v/>
      </c>
    </row>
    <row r="102" spans="7:14" x14ac:dyDescent="0.3">
      <c r="G102" t="str">
        <f t="shared" si="9"/>
        <v/>
      </c>
      <c r="H102" t="str">
        <f t="shared" si="10"/>
        <v/>
      </c>
      <c r="I102" t="str">
        <f t="shared" si="11"/>
        <v/>
      </c>
      <c r="L102" t="str">
        <f t="shared" si="6"/>
        <v/>
      </c>
      <c r="M102" t="str">
        <f t="shared" si="7"/>
        <v/>
      </c>
      <c r="N102" t="str">
        <f t="shared" si="8"/>
        <v/>
      </c>
    </row>
    <row r="103" spans="7:14" x14ac:dyDescent="0.3">
      <c r="G103" t="str">
        <f t="shared" si="9"/>
        <v/>
      </c>
      <c r="H103" t="str">
        <f t="shared" si="10"/>
        <v/>
      </c>
      <c r="I103" t="str">
        <f t="shared" si="11"/>
        <v/>
      </c>
      <c r="L103" t="str">
        <f t="shared" si="6"/>
        <v/>
      </c>
      <c r="M103" t="str">
        <f t="shared" si="7"/>
        <v/>
      </c>
      <c r="N103" t="str">
        <f t="shared" si="8"/>
        <v/>
      </c>
    </row>
    <row r="104" spans="7:14" x14ac:dyDescent="0.3">
      <c r="G104" t="str">
        <f t="shared" si="9"/>
        <v/>
      </c>
      <c r="H104" t="str">
        <f t="shared" si="10"/>
        <v/>
      </c>
      <c r="I104" t="str">
        <f t="shared" si="11"/>
        <v/>
      </c>
      <c r="L104" t="str">
        <f t="shared" si="6"/>
        <v/>
      </c>
      <c r="M104" t="str">
        <f t="shared" si="7"/>
        <v/>
      </c>
      <c r="N104" t="str">
        <f t="shared" si="8"/>
        <v/>
      </c>
    </row>
    <row r="105" spans="7:14" x14ac:dyDescent="0.3">
      <c r="G105" t="str">
        <f t="shared" si="9"/>
        <v/>
      </c>
      <c r="H105" t="str">
        <f t="shared" si="10"/>
        <v/>
      </c>
      <c r="I105" t="str">
        <f t="shared" si="11"/>
        <v/>
      </c>
      <c r="L105" t="str">
        <f t="shared" si="6"/>
        <v/>
      </c>
      <c r="M105" t="str">
        <f t="shared" si="7"/>
        <v/>
      </c>
      <c r="N105" t="str">
        <f t="shared" si="8"/>
        <v/>
      </c>
    </row>
    <row r="106" spans="7:14" x14ac:dyDescent="0.3">
      <c r="G106" t="str">
        <f t="shared" si="9"/>
        <v/>
      </c>
      <c r="H106" t="str">
        <f t="shared" si="10"/>
        <v/>
      </c>
      <c r="I106" t="str">
        <f t="shared" si="11"/>
        <v/>
      </c>
      <c r="L106" t="str">
        <f t="shared" si="6"/>
        <v/>
      </c>
      <c r="M106" t="str">
        <f t="shared" si="7"/>
        <v/>
      </c>
      <c r="N106" t="str">
        <f t="shared" si="8"/>
        <v/>
      </c>
    </row>
    <row r="107" spans="7:14" x14ac:dyDescent="0.3">
      <c r="G107" t="str">
        <f t="shared" si="9"/>
        <v/>
      </c>
      <c r="H107" t="str">
        <f t="shared" si="10"/>
        <v/>
      </c>
      <c r="I107" t="str">
        <f t="shared" si="11"/>
        <v/>
      </c>
      <c r="L107" t="str">
        <f t="shared" si="6"/>
        <v/>
      </c>
      <c r="M107" t="str">
        <f t="shared" si="7"/>
        <v/>
      </c>
      <c r="N107" t="str">
        <f t="shared" si="8"/>
        <v/>
      </c>
    </row>
    <row r="108" spans="7:14" x14ac:dyDescent="0.3">
      <c r="G108" t="str">
        <f t="shared" si="9"/>
        <v/>
      </c>
      <c r="H108" t="str">
        <f t="shared" si="10"/>
        <v/>
      </c>
      <c r="I108" t="str">
        <f t="shared" si="11"/>
        <v/>
      </c>
      <c r="L108" t="str">
        <f t="shared" si="6"/>
        <v/>
      </c>
      <c r="M108" t="str">
        <f t="shared" si="7"/>
        <v/>
      </c>
      <c r="N108" t="str">
        <f t="shared" si="8"/>
        <v/>
      </c>
    </row>
    <row r="109" spans="7:14" x14ac:dyDescent="0.3">
      <c r="G109" t="str">
        <f t="shared" si="9"/>
        <v/>
      </c>
      <c r="H109" t="str">
        <f t="shared" si="10"/>
        <v/>
      </c>
      <c r="I109" t="str">
        <f t="shared" si="11"/>
        <v/>
      </c>
      <c r="L109" t="str">
        <f t="shared" si="6"/>
        <v/>
      </c>
      <c r="M109" t="str">
        <f t="shared" si="7"/>
        <v/>
      </c>
      <c r="N109" t="str">
        <f t="shared" si="8"/>
        <v/>
      </c>
    </row>
    <row r="110" spans="7:14" x14ac:dyDescent="0.3">
      <c r="G110" t="str">
        <f t="shared" si="9"/>
        <v/>
      </c>
      <c r="H110" t="str">
        <f t="shared" si="10"/>
        <v/>
      </c>
      <c r="I110" t="str">
        <f t="shared" si="11"/>
        <v/>
      </c>
      <c r="L110" t="str">
        <f t="shared" si="6"/>
        <v/>
      </c>
      <c r="M110" t="str">
        <f t="shared" si="7"/>
        <v/>
      </c>
      <c r="N110" t="str">
        <f t="shared" si="8"/>
        <v/>
      </c>
    </row>
    <row r="111" spans="7:14" x14ac:dyDescent="0.3">
      <c r="G111" t="str">
        <f t="shared" si="9"/>
        <v/>
      </c>
      <c r="H111" t="str">
        <f t="shared" si="10"/>
        <v/>
      </c>
      <c r="I111" t="str">
        <f t="shared" si="11"/>
        <v/>
      </c>
      <c r="L111" t="str">
        <f t="shared" si="6"/>
        <v/>
      </c>
      <c r="M111" t="str">
        <f t="shared" si="7"/>
        <v/>
      </c>
      <c r="N111" t="str">
        <f t="shared" si="8"/>
        <v/>
      </c>
    </row>
    <row r="112" spans="7:14" x14ac:dyDescent="0.3">
      <c r="G112" t="str">
        <f t="shared" si="9"/>
        <v/>
      </c>
      <c r="H112" t="str">
        <f t="shared" si="10"/>
        <v/>
      </c>
      <c r="I112" t="str">
        <f t="shared" si="11"/>
        <v/>
      </c>
      <c r="L112" t="str">
        <f t="shared" si="6"/>
        <v/>
      </c>
      <c r="M112" t="str">
        <f t="shared" si="7"/>
        <v/>
      </c>
      <c r="N112" t="str">
        <f t="shared" si="8"/>
        <v/>
      </c>
    </row>
    <row r="113" spans="7:14" x14ac:dyDescent="0.3">
      <c r="G113" t="str">
        <f t="shared" si="9"/>
        <v/>
      </c>
      <c r="H113" t="str">
        <f t="shared" si="10"/>
        <v/>
      </c>
      <c r="I113" t="str">
        <f t="shared" si="11"/>
        <v/>
      </c>
      <c r="L113" t="str">
        <f t="shared" si="6"/>
        <v/>
      </c>
      <c r="M113" t="str">
        <f t="shared" si="7"/>
        <v/>
      </c>
      <c r="N113" t="str">
        <f t="shared" si="8"/>
        <v/>
      </c>
    </row>
    <row r="114" spans="7:14" x14ac:dyDescent="0.3">
      <c r="G114" t="str">
        <f t="shared" si="9"/>
        <v/>
      </c>
      <c r="H114" t="str">
        <f t="shared" si="10"/>
        <v/>
      </c>
      <c r="I114" t="str">
        <f t="shared" si="11"/>
        <v/>
      </c>
      <c r="L114" t="str">
        <f t="shared" si="6"/>
        <v/>
      </c>
      <c r="M114" t="str">
        <f t="shared" si="7"/>
        <v/>
      </c>
      <c r="N114" t="str">
        <f t="shared" si="8"/>
        <v/>
      </c>
    </row>
    <row r="115" spans="7:14" x14ac:dyDescent="0.3">
      <c r="G115" t="str">
        <f t="shared" si="9"/>
        <v/>
      </c>
      <c r="H115" t="str">
        <f t="shared" si="10"/>
        <v/>
      </c>
      <c r="I115" t="str">
        <f t="shared" si="11"/>
        <v/>
      </c>
      <c r="L115" t="str">
        <f t="shared" si="6"/>
        <v/>
      </c>
      <c r="M115" t="str">
        <f t="shared" si="7"/>
        <v/>
      </c>
      <c r="N115" t="str">
        <f t="shared" si="8"/>
        <v/>
      </c>
    </row>
    <row r="116" spans="7:14" x14ac:dyDescent="0.3">
      <c r="G116" t="str">
        <f t="shared" si="9"/>
        <v/>
      </c>
      <c r="H116" t="str">
        <f t="shared" si="10"/>
        <v/>
      </c>
      <c r="I116" t="str">
        <f t="shared" si="11"/>
        <v/>
      </c>
      <c r="L116" t="str">
        <f t="shared" si="6"/>
        <v/>
      </c>
      <c r="M116" t="str">
        <f t="shared" si="7"/>
        <v/>
      </c>
      <c r="N116" t="str">
        <f t="shared" si="8"/>
        <v/>
      </c>
    </row>
    <row r="117" spans="7:14" x14ac:dyDescent="0.3">
      <c r="G117" t="str">
        <f t="shared" si="9"/>
        <v/>
      </c>
      <c r="H117" t="str">
        <f t="shared" si="10"/>
        <v/>
      </c>
      <c r="I117" t="str">
        <f t="shared" si="11"/>
        <v/>
      </c>
      <c r="L117" t="str">
        <f t="shared" si="6"/>
        <v/>
      </c>
      <c r="M117" t="str">
        <f t="shared" si="7"/>
        <v/>
      </c>
      <c r="N117" t="str">
        <f t="shared" si="8"/>
        <v/>
      </c>
    </row>
    <row r="118" spans="7:14" x14ac:dyDescent="0.3">
      <c r="G118" t="str">
        <f t="shared" si="9"/>
        <v/>
      </c>
      <c r="H118" t="str">
        <f t="shared" si="10"/>
        <v/>
      </c>
      <c r="I118" t="str">
        <f t="shared" si="11"/>
        <v/>
      </c>
      <c r="L118" t="str">
        <f t="shared" si="6"/>
        <v/>
      </c>
      <c r="M118" t="str">
        <f t="shared" si="7"/>
        <v/>
      </c>
      <c r="N118" t="str">
        <f t="shared" si="8"/>
        <v/>
      </c>
    </row>
    <row r="119" spans="7:14" x14ac:dyDescent="0.3">
      <c r="G119" t="str">
        <f t="shared" si="9"/>
        <v/>
      </c>
      <c r="H119" t="str">
        <f t="shared" si="10"/>
        <v/>
      </c>
      <c r="I119" t="str">
        <f t="shared" si="11"/>
        <v/>
      </c>
      <c r="L119" t="str">
        <f t="shared" si="6"/>
        <v/>
      </c>
      <c r="M119" t="str">
        <f t="shared" si="7"/>
        <v/>
      </c>
      <c r="N119" t="str">
        <f t="shared" si="8"/>
        <v/>
      </c>
    </row>
    <row r="120" spans="7:14" x14ac:dyDescent="0.3">
      <c r="G120" t="str">
        <f t="shared" si="9"/>
        <v/>
      </c>
      <c r="H120" t="str">
        <f t="shared" si="10"/>
        <v/>
      </c>
      <c r="I120" t="str">
        <f t="shared" si="11"/>
        <v/>
      </c>
      <c r="L120" t="str">
        <f t="shared" si="6"/>
        <v/>
      </c>
      <c r="M120" t="str">
        <f t="shared" si="7"/>
        <v/>
      </c>
      <c r="N120" t="str">
        <f t="shared" si="8"/>
        <v/>
      </c>
    </row>
    <row r="121" spans="7:14" x14ac:dyDescent="0.3">
      <c r="G121" t="str">
        <f t="shared" si="9"/>
        <v/>
      </c>
      <c r="H121" t="str">
        <f t="shared" si="10"/>
        <v/>
      </c>
      <c r="I121" t="str">
        <f t="shared" si="11"/>
        <v/>
      </c>
      <c r="L121" t="str">
        <f t="shared" si="6"/>
        <v/>
      </c>
      <c r="M121" t="str">
        <f t="shared" si="7"/>
        <v/>
      </c>
      <c r="N121" t="str">
        <f t="shared" si="8"/>
        <v/>
      </c>
    </row>
    <row r="122" spans="7:14" x14ac:dyDescent="0.3">
      <c r="G122" t="str">
        <f t="shared" si="9"/>
        <v/>
      </c>
      <c r="H122" t="str">
        <f t="shared" si="10"/>
        <v/>
      </c>
      <c r="I122" t="str">
        <f t="shared" si="11"/>
        <v/>
      </c>
      <c r="L122" t="str">
        <f t="shared" si="6"/>
        <v/>
      </c>
      <c r="M122" t="str">
        <f t="shared" si="7"/>
        <v/>
      </c>
      <c r="N122" t="str">
        <f t="shared" si="8"/>
        <v/>
      </c>
    </row>
    <row r="123" spans="7:14" x14ac:dyDescent="0.3">
      <c r="G123" t="str">
        <f t="shared" si="9"/>
        <v/>
      </c>
      <c r="H123" t="str">
        <f t="shared" si="10"/>
        <v/>
      </c>
      <c r="I123" t="str">
        <f t="shared" si="11"/>
        <v/>
      </c>
      <c r="L123" t="str">
        <f t="shared" si="6"/>
        <v/>
      </c>
      <c r="M123" t="str">
        <f t="shared" si="7"/>
        <v/>
      </c>
      <c r="N123" t="str">
        <f t="shared" si="8"/>
        <v/>
      </c>
    </row>
    <row r="124" spans="7:14" x14ac:dyDescent="0.3">
      <c r="G124" t="str">
        <f t="shared" si="9"/>
        <v/>
      </c>
      <c r="H124" t="str">
        <f t="shared" si="10"/>
        <v/>
      </c>
      <c r="I124" t="str">
        <f t="shared" si="11"/>
        <v/>
      </c>
      <c r="L124" t="str">
        <f t="shared" si="6"/>
        <v/>
      </c>
      <c r="M124" t="str">
        <f t="shared" si="7"/>
        <v/>
      </c>
      <c r="N124" t="str">
        <f t="shared" si="8"/>
        <v/>
      </c>
    </row>
    <row r="125" spans="7:14" x14ac:dyDescent="0.3">
      <c r="G125" t="str">
        <f t="shared" si="9"/>
        <v/>
      </c>
      <c r="H125" t="str">
        <f t="shared" si="10"/>
        <v/>
      </c>
      <c r="I125" t="str">
        <f t="shared" si="11"/>
        <v/>
      </c>
      <c r="L125" t="str">
        <f t="shared" si="6"/>
        <v/>
      </c>
      <c r="M125" t="str">
        <f t="shared" si="7"/>
        <v/>
      </c>
      <c r="N125" t="str">
        <f t="shared" si="8"/>
        <v/>
      </c>
    </row>
    <row r="126" spans="7:14" x14ac:dyDescent="0.3">
      <c r="G126" t="str">
        <f t="shared" si="9"/>
        <v/>
      </c>
      <c r="H126" t="str">
        <f t="shared" si="10"/>
        <v/>
      </c>
      <c r="I126" t="str">
        <f t="shared" si="11"/>
        <v/>
      </c>
      <c r="L126" t="str">
        <f t="shared" si="6"/>
        <v/>
      </c>
      <c r="M126" t="str">
        <f t="shared" si="7"/>
        <v/>
      </c>
      <c r="N126" t="str">
        <f t="shared" si="8"/>
        <v/>
      </c>
    </row>
    <row r="127" spans="7:14" x14ac:dyDescent="0.3">
      <c r="G127" t="str">
        <f t="shared" si="9"/>
        <v/>
      </c>
      <c r="H127" t="str">
        <f t="shared" si="10"/>
        <v/>
      </c>
      <c r="I127" t="str">
        <f t="shared" si="11"/>
        <v/>
      </c>
      <c r="L127" t="str">
        <f t="shared" si="6"/>
        <v/>
      </c>
      <c r="M127" t="str">
        <f t="shared" si="7"/>
        <v/>
      </c>
      <c r="N127" t="str">
        <f t="shared" si="8"/>
        <v/>
      </c>
    </row>
    <row r="128" spans="7:14" x14ac:dyDescent="0.3">
      <c r="G128" t="str">
        <f t="shared" si="9"/>
        <v/>
      </c>
      <c r="H128" t="str">
        <f t="shared" si="10"/>
        <v/>
      </c>
      <c r="I128" t="str">
        <f t="shared" si="11"/>
        <v/>
      </c>
      <c r="L128" t="str">
        <f t="shared" si="6"/>
        <v/>
      </c>
      <c r="M128" t="str">
        <f t="shared" si="7"/>
        <v/>
      </c>
      <c r="N128" t="str">
        <f t="shared" si="8"/>
        <v/>
      </c>
    </row>
    <row r="129" spans="7:14" x14ac:dyDescent="0.3">
      <c r="G129" t="str">
        <f t="shared" si="9"/>
        <v/>
      </c>
      <c r="H129" t="str">
        <f t="shared" si="10"/>
        <v/>
      </c>
      <c r="I129" t="str">
        <f t="shared" si="11"/>
        <v/>
      </c>
      <c r="L129" t="str">
        <f t="shared" si="6"/>
        <v/>
      </c>
      <c r="M129" t="str">
        <f t="shared" si="7"/>
        <v/>
      </c>
      <c r="N129" t="str">
        <f t="shared" si="8"/>
        <v/>
      </c>
    </row>
    <row r="130" spans="7:14" x14ac:dyDescent="0.3">
      <c r="G130" t="str">
        <f t="shared" si="9"/>
        <v/>
      </c>
      <c r="H130" t="str">
        <f t="shared" si="10"/>
        <v/>
      </c>
      <c r="I130" t="str">
        <f t="shared" si="11"/>
        <v/>
      </c>
      <c r="L130" t="str">
        <f t="shared" si="6"/>
        <v/>
      </c>
      <c r="M130" t="str">
        <f t="shared" si="7"/>
        <v/>
      </c>
      <c r="N130" t="str">
        <f t="shared" si="8"/>
        <v/>
      </c>
    </row>
    <row r="131" spans="7:14" x14ac:dyDescent="0.3">
      <c r="G131" t="str">
        <f t="shared" si="9"/>
        <v/>
      </c>
      <c r="H131" t="str">
        <f t="shared" si="10"/>
        <v/>
      </c>
      <c r="I131" t="str">
        <f t="shared" si="11"/>
        <v/>
      </c>
      <c r="L131" t="str">
        <f t="shared" si="6"/>
        <v/>
      </c>
      <c r="M131" t="str">
        <f t="shared" si="7"/>
        <v/>
      </c>
      <c r="N131" t="str">
        <f t="shared" si="8"/>
        <v/>
      </c>
    </row>
    <row r="132" spans="7:14" x14ac:dyDescent="0.3">
      <c r="G132" t="str">
        <f t="shared" si="9"/>
        <v/>
      </c>
      <c r="H132" t="str">
        <f t="shared" si="10"/>
        <v/>
      </c>
      <c r="I132" t="str">
        <f t="shared" si="11"/>
        <v/>
      </c>
      <c r="L132" t="str">
        <f t="shared" si="6"/>
        <v/>
      </c>
      <c r="M132" t="str">
        <f t="shared" si="7"/>
        <v/>
      </c>
      <c r="N132" t="str">
        <f t="shared" si="8"/>
        <v/>
      </c>
    </row>
    <row r="133" spans="7:14" x14ac:dyDescent="0.3">
      <c r="G133" t="str">
        <f t="shared" si="9"/>
        <v/>
      </c>
      <c r="H133" t="str">
        <f t="shared" si="10"/>
        <v/>
      </c>
      <c r="I133" t="str">
        <f t="shared" si="11"/>
        <v/>
      </c>
      <c r="L133" t="str">
        <f t="shared" si="6"/>
        <v/>
      </c>
      <c r="M133" t="str">
        <f t="shared" si="7"/>
        <v/>
      </c>
      <c r="N133" t="str">
        <f t="shared" si="8"/>
        <v/>
      </c>
    </row>
    <row r="134" spans="7:14" x14ac:dyDescent="0.3">
      <c r="G134" t="str">
        <f t="shared" si="9"/>
        <v/>
      </c>
      <c r="H134" t="str">
        <f t="shared" si="10"/>
        <v/>
      </c>
      <c r="I134" t="str">
        <f t="shared" si="11"/>
        <v/>
      </c>
      <c r="L134" t="str">
        <f t="shared" si="6"/>
        <v/>
      </c>
      <c r="M134" t="str">
        <f t="shared" si="7"/>
        <v/>
      </c>
      <c r="N134" t="str">
        <f t="shared" si="8"/>
        <v/>
      </c>
    </row>
    <row r="135" spans="7:14" x14ac:dyDescent="0.3">
      <c r="G135" t="str">
        <f t="shared" si="9"/>
        <v/>
      </c>
      <c r="H135" t="str">
        <f t="shared" si="10"/>
        <v/>
      </c>
      <c r="I135" t="str">
        <f t="shared" si="11"/>
        <v/>
      </c>
      <c r="L135" t="str">
        <f t="shared" ref="L135:L187" si="12">IF(A135="","",A135)</f>
        <v/>
      </c>
      <c r="M135" t="str">
        <f t="shared" ref="M135:M187" si="13">IF(B135="","",B135)</f>
        <v/>
      </c>
      <c r="N135" t="str">
        <f t="shared" ref="N135:N187" si="14">IF(C135="","",C135)</f>
        <v/>
      </c>
    </row>
    <row r="136" spans="7:14" x14ac:dyDescent="0.3">
      <c r="G136" t="str">
        <f t="shared" si="9"/>
        <v/>
      </c>
      <c r="H136" t="str">
        <f t="shared" si="10"/>
        <v/>
      </c>
      <c r="I136" t="str">
        <f t="shared" si="11"/>
        <v/>
      </c>
      <c r="L136" t="str">
        <f t="shared" si="12"/>
        <v/>
      </c>
      <c r="M136" t="str">
        <f t="shared" si="13"/>
        <v/>
      </c>
      <c r="N136" t="str">
        <f t="shared" si="14"/>
        <v/>
      </c>
    </row>
    <row r="137" spans="7:14" x14ac:dyDescent="0.3">
      <c r="G137" t="str">
        <f t="shared" si="9"/>
        <v/>
      </c>
      <c r="H137" t="str">
        <f t="shared" si="10"/>
        <v/>
      </c>
      <c r="I137" t="str">
        <f t="shared" si="11"/>
        <v/>
      </c>
      <c r="L137" t="str">
        <f t="shared" si="12"/>
        <v/>
      </c>
      <c r="M137" t="str">
        <f t="shared" si="13"/>
        <v/>
      </c>
      <c r="N137" t="str">
        <f t="shared" si="14"/>
        <v/>
      </c>
    </row>
    <row r="138" spans="7:14" x14ac:dyDescent="0.3">
      <c r="G138" t="str">
        <f t="shared" si="9"/>
        <v/>
      </c>
      <c r="H138" t="str">
        <f t="shared" si="10"/>
        <v/>
      </c>
      <c r="I138" t="str">
        <f t="shared" si="11"/>
        <v/>
      </c>
      <c r="L138" t="str">
        <f t="shared" si="12"/>
        <v/>
      </c>
      <c r="M138" t="str">
        <f t="shared" si="13"/>
        <v/>
      </c>
      <c r="N138" t="str">
        <f t="shared" si="14"/>
        <v/>
      </c>
    </row>
    <row r="139" spans="7:14" x14ac:dyDescent="0.3">
      <c r="G139" t="str">
        <f t="shared" si="9"/>
        <v/>
      </c>
      <c r="H139" t="str">
        <f t="shared" si="10"/>
        <v/>
      </c>
      <c r="I139" t="str">
        <f t="shared" si="11"/>
        <v/>
      </c>
      <c r="L139" t="str">
        <f t="shared" si="12"/>
        <v/>
      </c>
      <c r="M139" t="str">
        <f t="shared" si="13"/>
        <v/>
      </c>
      <c r="N139" t="str">
        <f t="shared" si="14"/>
        <v/>
      </c>
    </row>
    <row r="140" spans="7:14" x14ac:dyDescent="0.3">
      <c r="G140" t="str">
        <f t="shared" si="9"/>
        <v/>
      </c>
      <c r="H140" t="str">
        <f t="shared" si="10"/>
        <v/>
      </c>
      <c r="I140" t="str">
        <f t="shared" si="11"/>
        <v/>
      </c>
      <c r="L140" t="str">
        <f t="shared" si="12"/>
        <v/>
      </c>
      <c r="M140" t="str">
        <f t="shared" si="13"/>
        <v/>
      </c>
      <c r="N140" t="str">
        <f t="shared" si="14"/>
        <v/>
      </c>
    </row>
    <row r="141" spans="7:14" x14ac:dyDescent="0.3">
      <c r="G141" t="str">
        <f t="shared" si="9"/>
        <v/>
      </c>
      <c r="H141" t="str">
        <f t="shared" si="10"/>
        <v/>
      </c>
      <c r="I141" t="str">
        <f t="shared" si="11"/>
        <v/>
      </c>
      <c r="L141" t="str">
        <f t="shared" si="12"/>
        <v/>
      </c>
      <c r="M141" t="str">
        <f t="shared" si="13"/>
        <v/>
      </c>
      <c r="N141" t="str">
        <f t="shared" si="14"/>
        <v/>
      </c>
    </row>
    <row r="142" spans="7:14" x14ac:dyDescent="0.3">
      <c r="G142" t="str">
        <f t="shared" si="9"/>
        <v/>
      </c>
      <c r="H142" t="str">
        <f t="shared" si="10"/>
        <v/>
      </c>
      <c r="I142" t="str">
        <f t="shared" si="11"/>
        <v/>
      </c>
      <c r="L142" t="str">
        <f t="shared" si="12"/>
        <v/>
      </c>
      <c r="M142" t="str">
        <f t="shared" si="13"/>
        <v/>
      </c>
      <c r="N142" t="str">
        <f t="shared" si="14"/>
        <v/>
      </c>
    </row>
    <row r="143" spans="7:14" x14ac:dyDescent="0.3">
      <c r="G143" t="str">
        <f t="shared" si="9"/>
        <v/>
      </c>
      <c r="H143" t="str">
        <f t="shared" si="10"/>
        <v/>
      </c>
      <c r="I143" t="str">
        <f t="shared" si="11"/>
        <v/>
      </c>
      <c r="L143" t="str">
        <f t="shared" si="12"/>
        <v/>
      </c>
      <c r="M143" t="str">
        <f t="shared" si="13"/>
        <v/>
      </c>
      <c r="N143" t="str">
        <f t="shared" si="14"/>
        <v/>
      </c>
    </row>
    <row r="144" spans="7:14" x14ac:dyDescent="0.3">
      <c r="G144" t="str">
        <f t="shared" si="9"/>
        <v/>
      </c>
      <c r="H144" t="str">
        <f t="shared" si="10"/>
        <v/>
      </c>
      <c r="I144" t="str">
        <f t="shared" si="11"/>
        <v/>
      </c>
      <c r="L144" t="str">
        <f t="shared" si="12"/>
        <v/>
      </c>
      <c r="M144" t="str">
        <f t="shared" si="13"/>
        <v/>
      </c>
      <c r="N144" t="str">
        <f t="shared" si="14"/>
        <v/>
      </c>
    </row>
    <row r="145" spans="7:14" x14ac:dyDescent="0.3">
      <c r="G145" t="str">
        <f t="shared" si="9"/>
        <v/>
      </c>
      <c r="H145" t="str">
        <f t="shared" si="10"/>
        <v/>
      </c>
      <c r="I145" t="str">
        <f t="shared" si="11"/>
        <v/>
      </c>
      <c r="L145" t="str">
        <f t="shared" si="12"/>
        <v/>
      </c>
      <c r="M145" t="str">
        <f t="shared" si="13"/>
        <v/>
      </c>
      <c r="N145" t="str">
        <f t="shared" si="14"/>
        <v/>
      </c>
    </row>
    <row r="146" spans="7:14" x14ac:dyDescent="0.3">
      <c r="G146" t="str">
        <f t="shared" si="9"/>
        <v/>
      </c>
      <c r="H146" t="str">
        <f t="shared" si="10"/>
        <v/>
      </c>
      <c r="I146" t="str">
        <f t="shared" si="11"/>
        <v/>
      </c>
      <c r="L146" t="str">
        <f t="shared" si="12"/>
        <v/>
      </c>
      <c r="M146" t="str">
        <f t="shared" si="13"/>
        <v/>
      </c>
      <c r="N146" t="str">
        <f t="shared" si="14"/>
        <v/>
      </c>
    </row>
    <row r="147" spans="7:14" x14ac:dyDescent="0.3">
      <c r="G147" t="str">
        <f t="shared" si="9"/>
        <v/>
      </c>
      <c r="H147" t="str">
        <f t="shared" si="10"/>
        <v/>
      </c>
      <c r="I147" t="str">
        <f t="shared" si="11"/>
        <v/>
      </c>
      <c r="L147" t="str">
        <f t="shared" si="12"/>
        <v/>
      </c>
      <c r="M147" t="str">
        <f t="shared" si="13"/>
        <v/>
      </c>
      <c r="N147" t="str">
        <f t="shared" si="14"/>
        <v/>
      </c>
    </row>
    <row r="148" spans="7:14" x14ac:dyDescent="0.3">
      <c r="G148" t="str">
        <f t="shared" si="9"/>
        <v/>
      </c>
      <c r="H148" t="str">
        <f t="shared" si="10"/>
        <v/>
      </c>
      <c r="I148" t="str">
        <f t="shared" si="11"/>
        <v/>
      </c>
      <c r="L148" t="str">
        <f t="shared" si="12"/>
        <v/>
      </c>
      <c r="M148" t="str">
        <f t="shared" si="13"/>
        <v/>
      </c>
      <c r="N148" t="str">
        <f t="shared" si="14"/>
        <v/>
      </c>
    </row>
    <row r="149" spans="7:14" x14ac:dyDescent="0.3">
      <c r="G149" t="str">
        <f t="shared" si="9"/>
        <v/>
      </c>
      <c r="H149" t="str">
        <f t="shared" si="10"/>
        <v/>
      </c>
      <c r="I149" t="str">
        <f t="shared" si="11"/>
        <v/>
      </c>
      <c r="L149" t="str">
        <f t="shared" si="12"/>
        <v/>
      </c>
      <c r="M149" t="str">
        <f t="shared" si="13"/>
        <v/>
      </c>
      <c r="N149" t="str">
        <f t="shared" si="14"/>
        <v/>
      </c>
    </row>
    <row r="150" spans="7:14" x14ac:dyDescent="0.3">
      <c r="G150" t="str">
        <f t="shared" si="9"/>
        <v/>
      </c>
      <c r="H150" t="str">
        <f t="shared" si="10"/>
        <v/>
      </c>
      <c r="I150" t="str">
        <f t="shared" si="11"/>
        <v/>
      </c>
      <c r="L150" t="str">
        <f t="shared" si="12"/>
        <v/>
      </c>
      <c r="M150" t="str">
        <f t="shared" si="13"/>
        <v/>
      </c>
      <c r="N150" t="str">
        <f t="shared" si="14"/>
        <v/>
      </c>
    </row>
    <row r="151" spans="7:14" x14ac:dyDescent="0.3">
      <c r="G151" t="str">
        <f t="shared" si="9"/>
        <v/>
      </c>
      <c r="H151" t="str">
        <f t="shared" si="10"/>
        <v/>
      </c>
      <c r="I151" t="str">
        <f t="shared" si="11"/>
        <v/>
      </c>
      <c r="L151" t="str">
        <f t="shared" si="12"/>
        <v/>
      </c>
      <c r="M151" t="str">
        <f t="shared" si="13"/>
        <v/>
      </c>
      <c r="N151" t="str">
        <f t="shared" si="14"/>
        <v/>
      </c>
    </row>
    <row r="152" spans="7:14" x14ac:dyDescent="0.3">
      <c r="G152" t="str">
        <f t="shared" ref="G152:G215" si="15">IF(A152="","",A152)</f>
        <v/>
      </c>
      <c r="H152" t="str">
        <f t="shared" ref="H152:H215" si="16">IF(B152="","",B152)</f>
        <v/>
      </c>
      <c r="I152" t="str">
        <f t="shared" ref="I152:I215" si="17">IF(C152="","",C152)</f>
        <v/>
      </c>
      <c r="L152" t="str">
        <f t="shared" si="12"/>
        <v/>
      </c>
      <c r="M152" t="str">
        <f t="shared" si="13"/>
        <v/>
      </c>
      <c r="N152" t="str">
        <f t="shared" si="14"/>
        <v/>
      </c>
    </row>
    <row r="153" spans="7:14" x14ac:dyDescent="0.3">
      <c r="G153" t="str">
        <f t="shared" si="15"/>
        <v/>
      </c>
      <c r="H153" t="str">
        <f t="shared" si="16"/>
        <v/>
      </c>
      <c r="I153" t="str">
        <f t="shared" si="17"/>
        <v/>
      </c>
      <c r="L153" t="str">
        <f t="shared" si="12"/>
        <v/>
      </c>
      <c r="M153" t="str">
        <f t="shared" si="13"/>
        <v/>
      </c>
      <c r="N153" t="str">
        <f t="shared" si="14"/>
        <v/>
      </c>
    </row>
    <row r="154" spans="7:14" x14ac:dyDescent="0.3">
      <c r="G154" t="str">
        <f t="shared" si="15"/>
        <v/>
      </c>
      <c r="H154" t="str">
        <f t="shared" si="16"/>
        <v/>
      </c>
      <c r="I154" t="str">
        <f t="shared" si="17"/>
        <v/>
      </c>
      <c r="L154" t="str">
        <f t="shared" si="12"/>
        <v/>
      </c>
      <c r="M154" t="str">
        <f t="shared" si="13"/>
        <v/>
      </c>
      <c r="N154" t="str">
        <f t="shared" si="14"/>
        <v/>
      </c>
    </row>
    <row r="155" spans="7:14" x14ac:dyDescent="0.3">
      <c r="G155" t="str">
        <f t="shared" si="15"/>
        <v/>
      </c>
      <c r="H155" t="str">
        <f t="shared" si="16"/>
        <v/>
      </c>
      <c r="I155" t="str">
        <f t="shared" si="17"/>
        <v/>
      </c>
      <c r="L155" t="str">
        <f t="shared" si="12"/>
        <v/>
      </c>
      <c r="M155" t="str">
        <f t="shared" si="13"/>
        <v/>
      </c>
      <c r="N155" t="str">
        <f t="shared" si="14"/>
        <v/>
      </c>
    </row>
    <row r="156" spans="7:14" x14ac:dyDescent="0.3">
      <c r="G156" t="str">
        <f t="shared" si="15"/>
        <v/>
      </c>
      <c r="H156" t="str">
        <f t="shared" si="16"/>
        <v/>
      </c>
      <c r="I156" t="str">
        <f t="shared" si="17"/>
        <v/>
      </c>
      <c r="L156" t="str">
        <f t="shared" si="12"/>
        <v/>
      </c>
      <c r="M156" t="str">
        <f t="shared" si="13"/>
        <v/>
      </c>
      <c r="N156" t="str">
        <f t="shared" si="14"/>
        <v/>
      </c>
    </row>
    <row r="157" spans="7:14" x14ac:dyDescent="0.3">
      <c r="G157" t="str">
        <f t="shared" si="15"/>
        <v/>
      </c>
      <c r="H157" t="str">
        <f t="shared" si="16"/>
        <v/>
      </c>
      <c r="I157" t="str">
        <f t="shared" si="17"/>
        <v/>
      </c>
      <c r="L157" t="str">
        <f t="shared" si="12"/>
        <v/>
      </c>
      <c r="M157" t="str">
        <f t="shared" si="13"/>
        <v/>
      </c>
      <c r="N157" t="str">
        <f t="shared" si="14"/>
        <v/>
      </c>
    </row>
    <row r="158" spans="7:14" x14ac:dyDescent="0.3">
      <c r="G158" t="str">
        <f t="shared" si="15"/>
        <v/>
      </c>
      <c r="H158" t="str">
        <f t="shared" si="16"/>
        <v/>
      </c>
      <c r="I158" t="str">
        <f t="shared" si="17"/>
        <v/>
      </c>
      <c r="L158" t="str">
        <f t="shared" si="12"/>
        <v/>
      </c>
      <c r="M158" t="str">
        <f t="shared" si="13"/>
        <v/>
      </c>
      <c r="N158" t="str">
        <f t="shared" si="14"/>
        <v/>
      </c>
    </row>
    <row r="159" spans="7:14" x14ac:dyDescent="0.3">
      <c r="G159" t="str">
        <f t="shared" si="15"/>
        <v/>
      </c>
      <c r="H159" t="str">
        <f t="shared" si="16"/>
        <v/>
      </c>
      <c r="I159" t="str">
        <f t="shared" si="17"/>
        <v/>
      </c>
      <c r="L159" t="str">
        <f t="shared" si="12"/>
        <v/>
      </c>
      <c r="M159" t="str">
        <f t="shared" si="13"/>
        <v/>
      </c>
      <c r="N159" t="str">
        <f t="shared" si="14"/>
        <v/>
      </c>
    </row>
    <row r="160" spans="7:14" x14ac:dyDescent="0.3">
      <c r="G160" t="str">
        <f t="shared" si="15"/>
        <v/>
      </c>
      <c r="H160" t="str">
        <f t="shared" si="16"/>
        <v/>
      </c>
      <c r="I160" t="str">
        <f t="shared" si="17"/>
        <v/>
      </c>
      <c r="L160" t="str">
        <f t="shared" si="12"/>
        <v/>
      </c>
      <c r="M160" t="str">
        <f t="shared" si="13"/>
        <v/>
      </c>
      <c r="N160" t="str">
        <f t="shared" si="14"/>
        <v/>
      </c>
    </row>
    <row r="161" spans="7:14" x14ac:dyDescent="0.3">
      <c r="G161" t="str">
        <f t="shared" si="15"/>
        <v/>
      </c>
      <c r="H161" t="str">
        <f t="shared" si="16"/>
        <v/>
      </c>
      <c r="I161" t="str">
        <f t="shared" si="17"/>
        <v/>
      </c>
      <c r="L161" t="str">
        <f t="shared" si="12"/>
        <v/>
      </c>
      <c r="M161" t="str">
        <f t="shared" si="13"/>
        <v/>
      </c>
      <c r="N161" t="str">
        <f t="shared" si="14"/>
        <v/>
      </c>
    </row>
    <row r="162" spans="7:14" x14ac:dyDescent="0.3">
      <c r="G162" t="str">
        <f t="shared" si="15"/>
        <v/>
      </c>
      <c r="H162" t="str">
        <f t="shared" si="16"/>
        <v/>
      </c>
      <c r="I162" t="str">
        <f t="shared" si="17"/>
        <v/>
      </c>
      <c r="L162" t="str">
        <f t="shared" si="12"/>
        <v/>
      </c>
      <c r="M162" t="str">
        <f t="shared" si="13"/>
        <v/>
      </c>
      <c r="N162" t="str">
        <f t="shared" si="14"/>
        <v/>
      </c>
    </row>
    <row r="163" spans="7:14" x14ac:dyDescent="0.3">
      <c r="G163" t="str">
        <f t="shared" si="15"/>
        <v/>
      </c>
      <c r="H163" t="str">
        <f t="shared" si="16"/>
        <v/>
      </c>
      <c r="I163" t="str">
        <f t="shared" si="17"/>
        <v/>
      </c>
      <c r="L163" t="str">
        <f t="shared" si="12"/>
        <v/>
      </c>
      <c r="M163" t="str">
        <f t="shared" si="13"/>
        <v/>
      </c>
      <c r="N163" t="str">
        <f t="shared" si="14"/>
        <v/>
      </c>
    </row>
    <row r="164" spans="7:14" x14ac:dyDescent="0.3">
      <c r="G164" t="str">
        <f t="shared" si="15"/>
        <v/>
      </c>
      <c r="H164" t="str">
        <f t="shared" si="16"/>
        <v/>
      </c>
      <c r="I164" t="str">
        <f t="shared" si="17"/>
        <v/>
      </c>
      <c r="L164" t="str">
        <f t="shared" si="12"/>
        <v/>
      </c>
      <c r="M164" t="str">
        <f t="shared" si="13"/>
        <v/>
      </c>
      <c r="N164" t="str">
        <f t="shared" si="14"/>
        <v/>
      </c>
    </row>
    <row r="165" spans="7:14" x14ac:dyDescent="0.3">
      <c r="G165" t="str">
        <f t="shared" si="15"/>
        <v/>
      </c>
      <c r="H165" t="str">
        <f t="shared" si="16"/>
        <v/>
      </c>
      <c r="I165" t="str">
        <f t="shared" si="17"/>
        <v/>
      </c>
      <c r="L165" t="str">
        <f t="shared" si="12"/>
        <v/>
      </c>
      <c r="M165" t="str">
        <f t="shared" si="13"/>
        <v/>
      </c>
      <c r="N165" t="str">
        <f t="shared" si="14"/>
        <v/>
      </c>
    </row>
    <row r="166" spans="7:14" x14ac:dyDescent="0.3">
      <c r="G166" t="str">
        <f t="shared" si="15"/>
        <v/>
      </c>
      <c r="H166" t="str">
        <f t="shared" si="16"/>
        <v/>
      </c>
      <c r="I166" t="str">
        <f t="shared" si="17"/>
        <v/>
      </c>
      <c r="L166" t="str">
        <f t="shared" si="12"/>
        <v/>
      </c>
      <c r="M166" t="str">
        <f t="shared" si="13"/>
        <v/>
      </c>
      <c r="N166" t="str">
        <f t="shared" si="14"/>
        <v/>
      </c>
    </row>
    <row r="167" spans="7:14" x14ac:dyDescent="0.3">
      <c r="G167" t="str">
        <f t="shared" si="15"/>
        <v/>
      </c>
      <c r="H167" t="str">
        <f t="shared" si="16"/>
        <v/>
      </c>
      <c r="I167" t="str">
        <f t="shared" si="17"/>
        <v/>
      </c>
      <c r="L167" t="str">
        <f t="shared" si="12"/>
        <v/>
      </c>
      <c r="M167" t="str">
        <f t="shared" si="13"/>
        <v/>
      </c>
      <c r="N167" t="str">
        <f t="shared" si="14"/>
        <v/>
      </c>
    </row>
    <row r="168" spans="7:14" x14ac:dyDescent="0.3">
      <c r="G168" t="str">
        <f t="shared" si="15"/>
        <v/>
      </c>
      <c r="H168" t="str">
        <f t="shared" si="16"/>
        <v/>
      </c>
      <c r="I168" t="str">
        <f t="shared" si="17"/>
        <v/>
      </c>
      <c r="L168" t="str">
        <f t="shared" si="12"/>
        <v/>
      </c>
      <c r="M168" t="str">
        <f t="shared" si="13"/>
        <v/>
      </c>
      <c r="N168" t="str">
        <f t="shared" si="14"/>
        <v/>
      </c>
    </row>
    <row r="169" spans="7:14" x14ac:dyDescent="0.3">
      <c r="G169" t="str">
        <f t="shared" si="15"/>
        <v/>
      </c>
      <c r="H169" t="str">
        <f t="shared" si="16"/>
        <v/>
      </c>
      <c r="I169" t="str">
        <f t="shared" si="17"/>
        <v/>
      </c>
      <c r="L169" t="str">
        <f t="shared" si="12"/>
        <v/>
      </c>
      <c r="M169" t="str">
        <f t="shared" si="13"/>
        <v/>
      </c>
      <c r="N169" t="str">
        <f t="shared" si="14"/>
        <v/>
      </c>
    </row>
    <row r="170" spans="7:14" x14ac:dyDescent="0.3">
      <c r="G170" t="str">
        <f t="shared" si="15"/>
        <v/>
      </c>
      <c r="H170" t="str">
        <f t="shared" si="16"/>
        <v/>
      </c>
      <c r="I170" t="str">
        <f t="shared" si="17"/>
        <v/>
      </c>
      <c r="L170" t="str">
        <f t="shared" si="12"/>
        <v/>
      </c>
      <c r="M170" t="str">
        <f t="shared" si="13"/>
        <v/>
      </c>
      <c r="N170" t="str">
        <f t="shared" si="14"/>
        <v/>
      </c>
    </row>
    <row r="171" spans="7:14" x14ac:dyDescent="0.3">
      <c r="G171" t="str">
        <f t="shared" si="15"/>
        <v/>
      </c>
      <c r="H171" t="str">
        <f t="shared" si="16"/>
        <v/>
      </c>
      <c r="I171" t="str">
        <f t="shared" si="17"/>
        <v/>
      </c>
      <c r="L171" t="str">
        <f t="shared" si="12"/>
        <v/>
      </c>
      <c r="M171" t="str">
        <f t="shared" si="13"/>
        <v/>
      </c>
      <c r="N171" t="str">
        <f t="shared" si="14"/>
        <v/>
      </c>
    </row>
    <row r="172" spans="7:14" x14ac:dyDescent="0.3">
      <c r="G172" t="str">
        <f t="shared" si="15"/>
        <v/>
      </c>
      <c r="H172" t="str">
        <f t="shared" si="16"/>
        <v/>
      </c>
      <c r="I172" t="str">
        <f t="shared" si="17"/>
        <v/>
      </c>
      <c r="L172" t="str">
        <f t="shared" si="12"/>
        <v/>
      </c>
      <c r="M172" t="str">
        <f t="shared" si="13"/>
        <v/>
      </c>
      <c r="N172" t="str">
        <f t="shared" si="14"/>
        <v/>
      </c>
    </row>
    <row r="173" spans="7:14" x14ac:dyDescent="0.3">
      <c r="G173" t="str">
        <f t="shared" si="15"/>
        <v/>
      </c>
      <c r="H173" t="str">
        <f t="shared" si="16"/>
        <v/>
      </c>
      <c r="I173" t="str">
        <f t="shared" si="17"/>
        <v/>
      </c>
      <c r="L173" t="str">
        <f t="shared" si="12"/>
        <v/>
      </c>
      <c r="M173" t="str">
        <f t="shared" si="13"/>
        <v/>
      </c>
      <c r="N173" t="str">
        <f t="shared" si="14"/>
        <v/>
      </c>
    </row>
    <row r="174" spans="7:14" x14ac:dyDescent="0.3">
      <c r="G174" t="str">
        <f t="shared" si="15"/>
        <v/>
      </c>
      <c r="H174" t="str">
        <f t="shared" si="16"/>
        <v/>
      </c>
      <c r="I174" t="str">
        <f t="shared" si="17"/>
        <v/>
      </c>
      <c r="L174" t="str">
        <f t="shared" si="12"/>
        <v/>
      </c>
      <c r="M174" t="str">
        <f t="shared" si="13"/>
        <v/>
      </c>
      <c r="N174" t="str">
        <f t="shared" si="14"/>
        <v/>
      </c>
    </row>
    <row r="175" spans="7:14" x14ac:dyDescent="0.3">
      <c r="G175" t="str">
        <f t="shared" si="15"/>
        <v/>
      </c>
      <c r="H175" t="str">
        <f t="shared" si="16"/>
        <v/>
      </c>
      <c r="I175" t="str">
        <f t="shared" si="17"/>
        <v/>
      </c>
      <c r="L175" t="str">
        <f t="shared" si="12"/>
        <v/>
      </c>
      <c r="M175" t="str">
        <f t="shared" si="13"/>
        <v/>
      </c>
      <c r="N175" t="str">
        <f t="shared" si="14"/>
        <v/>
      </c>
    </row>
    <row r="176" spans="7:14" x14ac:dyDescent="0.3">
      <c r="G176" t="str">
        <f t="shared" si="15"/>
        <v/>
      </c>
      <c r="H176" t="str">
        <f t="shared" si="16"/>
        <v/>
      </c>
      <c r="I176" t="str">
        <f t="shared" si="17"/>
        <v/>
      </c>
      <c r="L176" t="str">
        <f t="shared" si="12"/>
        <v/>
      </c>
      <c r="M176" t="str">
        <f t="shared" si="13"/>
        <v/>
      </c>
      <c r="N176" t="str">
        <f t="shared" si="14"/>
        <v/>
      </c>
    </row>
    <row r="177" spans="7:14" x14ac:dyDescent="0.3">
      <c r="G177" t="str">
        <f t="shared" si="15"/>
        <v/>
      </c>
      <c r="H177" t="str">
        <f t="shared" si="16"/>
        <v/>
      </c>
      <c r="I177" t="str">
        <f t="shared" si="17"/>
        <v/>
      </c>
      <c r="L177" t="str">
        <f t="shared" si="12"/>
        <v/>
      </c>
      <c r="M177" t="str">
        <f t="shared" si="13"/>
        <v/>
      </c>
      <c r="N177" t="str">
        <f t="shared" si="14"/>
        <v/>
      </c>
    </row>
    <row r="178" spans="7:14" x14ac:dyDescent="0.3">
      <c r="G178" t="str">
        <f t="shared" si="15"/>
        <v/>
      </c>
      <c r="H178" t="str">
        <f t="shared" si="16"/>
        <v/>
      </c>
      <c r="I178" t="str">
        <f t="shared" si="17"/>
        <v/>
      </c>
      <c r="L178" t="str">
        <f t="shared" si="12"/>
        <v/>
      </c>
      <c r="M178" t="str">
        <f t="shared" si="13"/>
        <v/>
      </c>
      <c r="N178" t="str">
        <f t="shared" si="14"/>
        <v/>
      </c>
    </row>
    <row r="179" spans="7:14" x14ac:dyDescent="0.3">
      <c r="G179" t="str">
        <f t="shared" si="15"/>
        <v/>
      </c>
      <c r="H179" t="str">
        <f t="shared" si="16"/>
        <v/>
      </c>
      <c r="I179" t="str">
        <f t="shared" si="17"/>
        <v/>
      </c>
      <c r="L179" t="str">
        <f t="shared" si="12"/>
        <v/>
      </c>
      <c r="M179" t="str">
        <f t="shared" si="13"/>
        <v/>
      </c>
      <c r="N179" t="str">
        <f t="shared" si="14"/>
        <v/>
      </c>
    </row>
    <row r="180" spans="7:14" x14ac:dyDescent="0.3">
      <c r="G180" t="str">
        <f t="shared" si="15"/>
        <v/>
      </c>
      <c r="H180" t="str">
        <f t="shared" si="16"/>
        <v/>
      </c>
      <c r="I180" t="str">
        <f t="shared" si="17"/>
        <v/>
      </c>
      <c r="L180" t="str">
        <f t="shared" si="12"/>
        <v/>
      </c>
      <c r="M180" t="str">
        <f t="shared" si="13"/>
        <v/>
      </c>
      <c r="N180" t="str">
        <f t="shared" si="14"/>
        <v/>
      </c>
    </row>
    <row r="181" spans="7:14" x14ac:dyDescent="0.3">
      <c r="G181" t="str">
        <f t="shared" si="15"/>
        <v/>
      </c>
      <c r="H181" t="str">
        <f t="shared" si="16"/>
        <v/>
      </c>
      <c r="I181" t="str">
        <f t="shared" si="17"/>
        <v/>
      </c>
      <c r="L181" t="str">
        <f t="shared" si="12"/>
        <v/>
      </c>
      <c r="M181" t="str">
        <f t="shared" si="13"/>
        <v/>
      </c>
      <c r="N181" t="str">
        <f t="shared" si="14"/>
        <v/>
      </c>
    </row>
    <row r="182" spans="7:14" x14ac:dyDescent="0.3">
      <c r="G182" t="str">
        <f t="shared" si="15"/>
        <v/>
      </c>
      <c r="H182" t="str">
        <f t="shared" si="16"/>
        <v/>
      </c>
      <c r="I182" t="str">
        <f t="shared" si="17"/>
        <v/>
      </c>
      <c r="L182" t="str">
        <f t="shared" si="12"/>
        <v/>
      </c>
      <c r="M182" t="str">
        <f t="shared" si="13"/>
        <v/>
      </c>
      <c r="N182" t="str">
        <f t="shared" si="14"/>
        <v/>
      </c>
    </row>
    <row r="183" spans="7:14" x14ac:dyDescent="0.3">
      <c r="G183" t="str">
        <f t="shared" si="15"/>
        <v/>
      </c>
      <c r="H183" t="str">
        <f t="shared" si="16"/>
        <v/>
      </c>
      <c r="I183" t="str">
        <f t="shared" si="17"/>
        <v/>
      </c>
      <c r="L183" t="str">
        <f t="shared" si="12"/>
        <v/>
      </c>
      <c r="M183" t="str">
        <f t="shared" si="13"/>
        <v/>
      </c>
      <c r="N183" t="str">
        <f t="shared" si="14"/>
        <v/>
      </c>
    </row>
    <row r="184" spans="7:14" x14ac:dyDescent="0.3">
      <c r="G184" t="str">
        <f t="shared" si="15"/>
        <v/>
      </c>
      <c r="H184" t="str">
        <f t="shared" si="16"/>
        <v/>
      </c>
      <c r="I184" t="str">
        <f t="shared" si="17"/>
        <v/>
      </c>
      <c r="L184" t="str">
        <f t="shared" si="12"/>
        <v/>
      </c>
      <c r="M184" t="str">
        <f t="shared" si="13"/>
        <v/>
      </c>
      <c r="N184" t="str">
        <f t="shared" si="14"/>
        <v/>
      </c>
    </row>
    <row r="185" spans="7:14" x14ac:dyDescent="0.3">
      <c r="G185" t="str">
        <f t="shared" si="15"/>
        <v/>
      </c>
      <c r="H185" t="str">
        <f t="shared" si="16"/>
        <v/>
      </c>
      <c r="I185" t="str">
        <f t="shared" si="17"/>
        <v/>
      </c>
      <c r="L185" t="str">
        <f t="shared" si="12"/>
        <v/>
      </c>
      <c r="M185" t="str">
        <f t="shared" si="13"/>
        <v/>
      </c>
      <c r="N185" t="str">
        <f t="shared" si="14"/>
        <v/>
      </c>
    </row>
    <row r="186" spans="7:14" x14ac:dyDescent="0.3">
      <c r="G186" t="str">
        <f t="shared" si="15"/>
        <v/>
      </c>
      <c r="H186" t="str">
        <f t="shared" si="16"/>
        <v/>
      </c>
      <c r="I186" t="str">
        <f t="shared" si="17"/>
        <v/>
      </c>
      <c r="L186" t="str">
        <f t="shared" si="12"/>
        <v/>
      </c>
      <c r="M186" t="str">
        <f t="shared" si="13"/>
        <v/>
      </c>
      <c r="N186" t="str">
        <f t="shared" si="14"/>
        <v/>
      </c>
    </row>
    <row r="187" spans="7:14" x14ac:dyDescent="0.3">
      <c r="G187" t="str">
        <f t="shared" si="15"/>
        <v/>
      </c>
      <c r="H187" t="str">
        <f t="shared" si="16"/>
        <v/>
      </c>
      <c r="I187" t="str">
        <f t="shared" si="17"/>
        <v/>
      </c>
      <c r="L187" t="str">
        <f t="shared" si="12"/>
        <v/>
      </c>
      <c r="M187" t="str">
        <f t="shared" si="13"/>
        <v/>
      </c>
      <c r="N187" t="str">
        <f t="shared" si="14"/>
        <v/>
      </c>
    </row>
    <row r="188" spans="7:14" x14ac:dyDescent="0.3">
      <c r="G188" t="str">
        <f t="shared" si="15"/>
        <v/>
      </c>
      <c r="H188" t="str">
        <f t="shared" si="16"/>
        <v/>
      </c>
      <c r="I188" t="str">
        <f t="shared" si="17"/>
        <v/>
      </c>
      <c r="L188" t="str">
        <f t="shared" ref="L188:L198" si="18">IF(A188="","",A188)</f>
        <v/>
      </c>
    </row>
    <row r="189" spans="7:14" x14ac:dyDescent="0.3">
      <c r="G189" t="str">
        <f t="shared" si="15"/>
        <v/>
      </c>
      <c r="H189" t="str">
        <f t="shared" si="16"/>
        <v/>
      </c>
      <c r="I189" t="str">
        <f t="shared" si="17"/>
        <v/>
      </c>
      <c r="L189" t="str">
        <f t="shared" si="18"/>
        <v/>
      </c>
    </row>
    <row r="190" spans="7:14" x14ac:dyDescent="0.3">
      <c r="G190" t="str">
        <f t="shared" si="15"/>
        <v/>
      </c>
      <c r="H190" t="str">
        <f t="shared" si="16"/>
        <v/>
      </c>
      <c r="I190" t="str">
        <f t="shared" si="17"/>
        <v/>
      </c>
      <c r="L190" t="str">
        <f t="shared" si="18"/>
        <v/>
      </c>
    </row>
    <row r="191" spans="7:14" x14ac:dyDescent="0.3">
      <c r="G191" t="str">
        <f t="shared" si="15"/>
        <v/>
      </c>
      <c r="H191" t="str">
        <f t="shared" si="16"/>
        <v/>
      </c>
      <c r="I191" t="str">
        <f t="shared" si="17"/>
        <v/>
      </c>
      <c r="L191" t="str">
        <f t="shared" si="18"/>
        <v/>
      </c>
    </row>
    <row r="192" spans="7:14" x14ac:dyDescent="0.3">
      <c r="G192" t="str">
        <f t="shared" si="15"/>
        <v/>
      </c>
      <c r="H192" t="str">
        <f t="shared" si="16"/>
        <v/>
      </c>
      <c r="I192" t="str">
        <f t="shared" si="17"/>
        <v/>
      </c>
      <c r="L192" t="str">
        <f t="shared" si="18"/>
        <v/>
      </c>
    </row>
    <row r="193" spans="7:12" x14ac:dyDescent="0.3">
      <c r="G193" t="str">
        <f t="shared" si="15"/>
        <v/>
      </c>
      <c r="H193" t="str">
        <f t="shared" si="16"/>
        <v/>
      </c>
      <c r="I193" t="str">
        <f t="shared" si="17"/>
        <v/>
      </c>
      <c r="L193" t="str">
        <f t="shared" si="18"/>
        <v/>
      </c>
    </row>
    <row r="194" spans="7:12" x14ac:dyDescent="0.3">
      <c r="G194" t="str">
        <f t="shared" si="15"/>
        <v/>
      </c>
      <c r="H194" t="str">
        <f t="shared" si="16"/>
        <v/>
      </c>
      <c r="I194" t="str">
        <f t="shared" si="17"/>
        <v/>
      </c>
      <c r="L194" t="str">
        <f t="shared" si="18"/>
        <v/>
      </c>
    </row>
    <row r="195" spans="7:12" x14ac:dyDescent="0.3">
      <c r="G195" t="str">
        <f t="shared" si="15"/>
        <v/>
      </c>
      <c r="H195" t="str">
        <f t="shared" si="16"/>
        <v/>
      </c>
      <c r="I195" t="str">
        <f t="shared" si="17"/>
        <v/>
      </c>
      <c r="L195" t="str">
        <f t="shared" si="18"/>
        <v/>
      </c>
    </row>
    <row r="196" spans="7:12" x14ac:dyDescent="0.3">
      <c r="G196" t="str">
        <f t="shared" si="15"/>
        <v/>
      </c>
      <c r="H196" t="str">
        <f t="shared" si="16"/>
        <v/>
      </c>
      <c r="I196" t="str">
        <f t="shared" si="17"/>
        <v/>
      </c>
      <c r="L196" t="str">
        <f t="shared" si="18"/>
        <v/>
      </c>
    </row>
    <row r="197" spans="7:12" x14ac:dyDescent="0.3">
      <c r="G197" t="str">
        <f t="shared" si="15"/>
        <v/>
      </c>
      <c r="H197" t="str">
        <f t="shared" si="16"/>
        <v/>
      </c>
      <c r="I197" t="str">
        <f t="shared" si="17"/>
        <v/>
      </c>
      <c r="L197" t="str">
        <f t="shared" si="18"/>
        <v/>
      </c>
    </row>
    <row r="198" spans="7:12" x14ac:dyDescent="0.3">
      <c r="G198" t="str">
        <f t="shared" si="15"/>
        <v/>
      </c>
      <c r="H198" t="str">
        <f t="shared" si="16"/>
        <v/>
      </c>
      <c r="I198" t="str">
        <f t="shared" si="17"/>
        <v/>
      </c>
      <c r="L198" t="str">
        <f t="shared" si="18"/>
        <v/>
      </c>
    </row>
    <row r="199" spans="7:12" x14ac:dyDescent="0.3">
      <c r="G199" t="str">
        <f t="shared" si="15"/>
        <v/>
      </c>
      <c r="H199" t="str">
        <f t="shared" si="16"/>
        <v/>
      </c>
      <c r="I199" t="str">
        <f t="shared" si="17"/>
        <v/>
      </c>
      <c r="L199" t="str">
        <f t="shared" ref="L199:L228" si="19">IF(A199="","",A199)</f>
        <v/>
      </c>
    </row>
    <row r="200" spans="7:12" x14ac:dyDescent="0.3">
      <c r="G200" t="str">
        <f t="shared" si="15"/>
        <v/>
      </c>
      <c r="H200" t="str">
        <f t="shared" si="16"/>
        <v/>
      </c>
      <c r="I200" t="str">
        <f t="shared" si="17"/>
        <v/>
      </c>
      <c r="L200" t="str">
        <f t="shared" si="19"/>
        <v/>
      </c>
    </row>
    <row r="201" spans="7:12" x14ac:dyDescent="0.3">
      <c r="G201" t="str">
        <f t="shared" si="15"/>
        <v/>
      </c>
      <c r="H201" t="str">
        <f t="shared" si="16"/>
        <v/>
      </c>
      <c r="I201" t="str">
        <f t="shared" si="17"/>
        <v/>
      </c>
      <c r="L201" t="str">
        <f t="shared" si="19"/>
        <v/>
      </c>
    </row>
    <row r="202" spans="7:12" x14ac:dyDescent="0.3">
      <c r="G202" t="str">
        <f t="shared" si="15"/>
        <v/>
      </c>
      <c r="H202" t="str">
        <f t="shared" si="16"/>
        <v/>
      </c>
      <c r="I202" t="str">
        <f t="shared" si="17"/>
        <v/>
      </c>
      <c r="L202" t="str">
        <f t="shared" si="19"/>
        <v/>
      </c>
    </row>
    <row r="203" spans="7:12" x14ac:dyDescent="0.3">
      <c r="G203" t="str">
        <f t="shared" si="15"/>
        <v/>
      </c>
      <c r="H203" t="str">
        <f t="shared" si="16"/>
        <v/>
      </c>
      <c r="I203" t="str">
        <f t="shared" si="17"/>
        <v/>
      </c>
      <c r="L203" t="str">
        <f t="shared" si="19"/>
        <v/>
      </c>
    </row>
    <row r="204" spans="7:12" x14ac:dyDescent="0.3">
      <c r="G204" t="str">
        <f t="shared" si="15"/>
        <v/>
      </c>
      <c r="H204" t="str">
        <f t="shared" si="16"/>
        <v/>
      </c>
      <c r="I204" t="str">
        <f t="shared" si="17"/>
        <v/>
      </c>
      <c r="L204" t="str">
        <f t="shared" si="19"/>
        <v/>
      </c>
    </row>
    <row r="205" spans="7:12" x14ac:dyDescent="0.3">
      <c r="G205" t="str">
        <f t="shared" si="15"/>
        <v/>
      </c>
      <c r="H205" t="str">
        <f t="shared" si="16"/>
        <v/>
      </c>
      <c r="I205" t="str">
        <f t="shared" si="17"/>
        <v/>
      </c>
      <c r="L205" t="str">
        <f t="shared" si="19"/>
        <v/>
      </c>
    </row>
    <row r="206" spans="7:12" x14ac:dyDescent="0.3">
      <c r="G206" t="str">
        <f t="shared" si="15"/>
        <v/>
      </c>
      <c r="H206" t="str">
        <f t="shared" si="16"/>
        <v/>
      </c>
      <c r="I206" t="str">
        <f t="shared" si="17"/>
        <v/>
      </c>
      <c r="L206" t="str">
        <f t="shared" si="19"/>
        <v/>
      </c>
    </row>
    <row r="207" spans="7:12" x14ac:dyDescent="0.3">
      <c r="G207" t="str">
        <f t="shared" si="15"/>
        <v/>
      </c>
      <c r="H207" t="str">
        <f t="shared" si="16"/>
        <v/>
      </c>
      <c r="I207" t="str">
        <f t="shared" si="17"/>
        <v/>
      </c>
      <c r="L207" t="str">
        <f t="shared" si="19"/>
        <v/>
      </c>
    </row>
    <row r="208" spans="7:12" x14ac:dyDescent="0.3">
      <c r="G208" t="str">
        <f t="shared" si="15"/>
        <v/>
      </c>
      <c r="H208" t="str">
        <f t="shared" si="16"/>
        <v/>
      </c>
      <c r="I208" t="str">
        <f t="shared" si="17"/>
        <v/>
      </c>
      <c r="L208" t="str">
        <f t="shared" si="19"/>
        <v/>
      </c>
    </row>
    <row r="209" spans="7:12" x14ac:dyDescent="0.3">
      <c r="G209" t="str">
        <f t="shared" si="15"/>
        <v/>
      </c>
      <c r="H209" t="str">
        <f t="shared" si="16"/>
        <v/>
      </c>
      <c r="I209" t="str">
        <f t="shared" si="17"/>
        <v/>
      </c>
      <c r="L209" t="str">
        <f t="shared" si="19"/>
        <v/>
      </c>
    </row>
    <row r="210" spans="7:12" x14ac:dyDescent="0.3">
      <c r="G210" t="str">
        <f t="shared" si="15"/>
        <v/>
      </c>
      <c r="H210" t="str">
        <f t="shared" si="16"/>
        <v/>
      </c>
      <c r="I210" t="str">
        <f t="shared" si="17"/>
        <v/>
      </c>
      <c r="L210" t="str">
        <f t="shared" si="19"/>
        <v/>
      </c>
    </row>
    <row r="211" spans="7:12" x14ac:dyDescent="0.3">
      <c r="G211" t="str">
        <f t="shared" si="15"/>
        <v/>
      </c>
      <c r="H211" t="str">
        <f t="shared" si="16"/>
        <v/>
      </c>
      <c r="I211" t="str">
        <f t="shared" si="17"/>
        <v/>
      </c>
      <c r="L211" t="str">
        <f t="shared" si="19"/>
        <v/>
      </c>
    </row>
    <row r="212" spans="7:12" x14ac:dyDescent="0.3">
      <c r="G212" t="str">
        <f t="shared" si="15"/>
        <v/>
      </c>
      <c r="H212" t="str">
        <f t="shared" si="16"/>
        <v/>
      </c>
      <c r="I212" t="str">
        <f t="shared" si="17"/>
        <v/>
      </c>
      <c r="L212" t="str">
        <f t="shared" si="19"/>
        <v/>
      </c>
    </row>
    <row r="213" spans="7:12" x14ac:dyDescent="0.3">
      <c r="G213" t="str">
        <f t="shared" si="15"/>
        <v/>
      </c>
      <c r="H213" t="str">
        <f t="shared" si="16"/>
        <v/>
      </c>
      <c r="I213" t="str">
        <f t="shared" si="17"/>
        <v/>
      </c>
      <c r="L213" t="str">
        <f t="shared" si="19"/>
        <v/>
      </c>
    </row>
    <row r="214" spans="7:12" x14ac:dyDescent="0.3">
      <c r="G214" t="str">
        <f t="shared" si="15"/>
        <v/>
      </c>
      <c r="H214" t="str">
        <f t="shared" si="16"/>
        <v/>
      </c>
      <c r="I214" t="str">
        <f t="shared" si="17"/>
        <v/>
      </c>
      <c r="L214" t="str">
        <f t="shared" si="19"/>
        <v/>
      </c>
    </row>
    <row r="215" spans="7:12" x14ac:dyDescent="0.3">
      <c r="G215" t="str">
        <f t="shared" si="15"/>
        <v/>
      </c>
      <c r="H215" t="str">
        <f t="shared" si="16"/>
        <v/>
      </c>
      <c r="I215" t="str">
        <f t="shared" si="17"/>
        <v/>
      </c>
      <c r="L215" t="str">
        <f t="shared" si="19"/>
        <v/>
      </c>
    </row>
    <row r="216" spans="7:12" x14ac:dyDescent="0.3">
      <c r="G216" t="str">
        <f t="shared" ref="G216:G272" si="20">IF(A216="","",A216)</f>
        <v/>
      </c>
      <c r="H216" t="str">
        <f t="shared" ref="H216:H272" si="21">IF(B216="","",B216)</f>
        <v/>
      </c>
      <c r="I216" t="str">
        <f t="shared" ref="I216:I272" si="22">IF(C216="","",C216)</f>
        <v/>
      </c>
      <c r="L216" t="str">
        <f t="shared" si="19"/>
        <v/>
      </c>
    </row>
    <row r="217" spans="7:12" x14ac:dyDescent="0.3">
      <c r="G217" t="str">
        <f t="shared" si="20"/>
        <v/>
      </c>
      <c r="H217" t="str">
        <f t="shared" si="21"/>
        <v/>
      </c>
      <c r="I217" t="str">
        <f t="shared" si="22"/>
        <v/>
      </c>
      <c r="L217" t="str">
        <f t="shared" si="19"/>
        <v/>
      </c>
    </row>
    <row r="218" spans="7:12" x14ac:dyDescent="0.3">
      <c r="G218" t="str">
        <f t="shared" si="20"/>
        <v/>
      </c>
      <c r="H218" t="str">
        <f t="shared" si="21"/>
        <v/>
      </c>
      <c r="I218" t="str">
        <f t="shared" si="22"/>
        <v/>
      </c>
      <c r="L218" t="str">
        <f t="shared" si="19"/>
        <v/>
      </c>
    </row>
    <row r="219" spans="7:12" x14ac:dyDescent="0.3">
      <c r="G219" t="str">
        <f t="shared" si="20"/>
        <v/>
      </c>
      <c r="H219" t="str">
        <f t="shared" si="21"/>
        <v/>
      </c>
      <c r="I219" t="str">
        <f t="shared" si="22"/>
        <v/>
      </c>
      <c r="L219" t="str">
        <f t="shared" si="19"/>
        <v/>
      </c>
    </row>
    <row r="220" spans="7:12" x14ac:dyDescent="0.3">
      <c r="G220" t="str">
        <f t="shared" si="20"/>
        <v/>
      </c>
      <c r="H220" t="str">
        <f t="shared" si="21"/>
        <v/>
      </c>
      <c r="I220" t="str">
        <f t="shared" si="22"/>
        <v/>
      </c>
      <c r="L220" t="str">
        <f t="shared" si="19"/>
        <v/>
      </c>
    </row>
    <row r="221" spans="7:12" x14ac:dyDescent="0.3">
      <c r="G221" t="str">
        <f t="shared" si="20"/>
        <v/>
      </c>
      <c r="H221" t="str">
        <f t="shared" si="21"/>
        <v/>
      </c>
      <c r="I221" t="str">
        <f t="shared" si="22"/>
        <v/>
      </c>
      <c r="L221" t="str">
        <f t="shared" si="19"/>
        <v/>
      </c>
    </row>
    <row r="222" spans="7:12" x14ac:dyDescent="0.3">
      <c r="G222" t="str">
        <f t="shared" si="20"/>
        <v/>
      </c>
      <c r="H222" t="str">
        <f t="shared" si="21"/>
        <v/>
      </c>
      <c r="I222" t="str">
        <f t="shared" si="22"/>
        <v/>
      </c>
      <c r="L222" t="str">
        <f t="shared" si="19"/>
        <v/>
      </c>
    </row>
    <row r="223" spans="7:12" x14ac:dyDescent="0.3">
      <c r="G223" t="str">
        <f t="shared" si="20"/>
        <v/>
      </c>
      <c r="H223" t="str">
        <f t="shared" si="21"/>
        <v/>
      </c>
      <c r="I223" t="str">
        <f t="shared" si="22"/>
        <v/>
      </c>
      <c r="L223" t="str">
        <f t="shared" si="19"/>
        <v/>
      </c>
    </row>
    <row r="224" spans="7:12" x14ac:dyDescent="0.3">
      <c r="G224" t="str">
        <f t="shared" si="20"/>
        <v/>
      </c>
      <c r="H224" t="str">
        <f t="shared" si="21"/>
        <v/>
      </c>
      <c r="I224" t="str">
        <f t="shared" si="22"/>
        <v/>
      </c>
      <c r="L224" t="str">
        <f t="shared" si="19"/>
        <v/>
      </c>
    </row>
    <row r="225" spans="7:12" x14ac:dyDescent="0.3">
      <c r="G225" t="str">
        <f t="shared" si="20"/>
        <v/>
      </c>
      <c r="H225" t="str">
        <f t="shared" si="21"/>
        <v/>
      </c>
      <c r="I225" t="str">
        <f t="shared" si="22"/>
        <v/>
      </c>
      <c r="L225" t="str">
        <f t="shared" si="19"/>
        <v/>
      </c>
    </row>
    <row r="226" spans="7:12" x14ac:dyDescent="0.3">
      <c r="G226" t="str">
        <f t="shared" si="20"/>
        <v/>
      </c>
      <c r="H226" t="str">
        <f t="shared" si="21"/>
        <v/>
      </c>
      <c r="I226" t="str">
        <f t="shared" si="22"/>
        <v/>
      </c>
      <c r="L226" t="str">
        <f t="shared" si="19"/>
        <v/>
      </c>
    </row>
    <row r="227" spans="7:12" x14ac:dyDescent="0.3">
      <c r="G227" t="str">
        <f t="shared" si="20"/>
        <v/>
      </c>
      <c r="H227" t="str">
        <f t="shared" si="21"/>
        <v/>
      </c>
      <c r="I227" t="str">
        <f t="shared" si="22"/>
        <v/>
      </c>
      <c r="L227" t="str">
        <f t="shared" si="19"/>
        <v/>
      </c>
    </row>
    <row r="228" spans="7:12" x14ac:dyDescent="0.3">
      <c r="G228" t="str">
        <f t="shared" si="20"/>
        <v/>
      </c>
      <c r="H228" t="str">
        <f t="shared" si="21"/>
        <v/>
      </c>
      <c r="I228" t="str">
        <f t="shared" si="22"/>
        <v/>
      </c>
      <c r="L228" t="str">
        <f t="shared" si="19"/>
        <v/>
      </c>
    </row>
    <row r="229" spans="7:12" x14ac:dyDescent="0.3">
      <c r="G229" t="str">
        <f t="shared" si="20"/>
        <v/>
      </c>
      <c r="H229" t="str">
        <f t="shared" si="21"/>
        <v/>
      </c>
      <c r="I229" t="str">
        <f t="shared" si="22"/>
        <v/>
      </c>
    </row>
    <row r="230" spans="7:12" x14ac:dyDescent="0.3">
      <c r="G230" t="str">
        <f t="shared" si="20"/>
        <v/>
      </c>
      <c r="H230" t="str">
        <f t="shared" si="21"/>
        <v/>
      </c>
      <c r="I230" t="str">
        <f t="shared" si="22"/>
        <v/>
      </c>
    </row>
    <row r="231" spans="7:12" x14ac:dyDescent="0.3">
      <c r="G231" t="str">
        <f t="shared" si="20"/>
        <v/>
      </c>
      <c r="H231" t="str">
        <f t="shared" si="21"/>
        <v/>
      </c>
      <c r="I231" t="str">
        <f t="shared" si="22"/>
        <v/>
      </c>
    </row>
    <row r="232" spans="7:12" x14ac:dyDescent="0.3">
      <c r="G232" t="str">
        <f t="shared" si="20"/>
        <v/>
      </c>
      <c r="H232" t="str">
        <f t="shared" si="21"/>
        <v/>
      </c>
      <c r="I232" t="str">
        <f t="shared" si="22"/>
        <v/>
      </c>
    </row>
    <row r="233" spans="7:12" x14ac:dyDescent="0.3">
      <c r="G233" t="str">
        <f t="shared" si="20"/>
        <v/>
      </c>
      <c r="H233" t="str">
        <f t="shared" si="21"/>
        <v/>
      </c>
      <c r="I233" t="str">
        <f t="shared" si="22"/>
        <v/>
      </c>
    </row>
    <row r="234" spans="7:12" x14ac:dyDescent="0.3">
      <c r="G234" t="str">
        <f t="shared" si="20"/>
        <v/>
      </c>
      <c r="H234" t="str">
        <f t="shared" si="21"/>
        <v/>
      </c>
      <c r="I234" t="str">
        <f t="shared" si="22"/>
        <v/>
      </c>
    </row>
    <row r="235" spans="7:12" x14ac:dyDescent="0.3">
      <c r="G235" t="str">
        <f t="shared" si="20"/>
        <v/>
      </c>
      <c r="H235" t="str">
        <f t="shared" si="21"/>
        <v/>
      </c>
      <c r="I235" t="str">
        <f t="shared" si="22"/>
        <v/>
      </c>
    </row>
    <row r="236" spans="7:12" x14ac:dyDescent="0.3">
      <c r="G236" t="str">
        <f t="shared" si="20"/>
        <v/>
      </c>
      <c r="H236" t="str">
        <f t="shared" si="21"/>
        <v/>
      </c>
      <c r="I236" t="str">
        <f t="shared" si="22"/>
        <v/>
      </c>
    </row>
    <row r="237" spans="7:12" x14ac:dyDescent="0.3">
      <c r="G237" t="str">
        <f t="shared" si="20"/>
        <v/>
      </c>
      <c r="H237" t="str">
        <f t="shared" si="21"/>
        <v/>
      </c>
      <c r="I237" t="str">
        <f t="shared" si="22"/>
        <v/>
      </c>
    </row>
    <row r="238" spans="7:12" x14ac:dyDescent="0.3">
      <c r="G238" t="str">
        <f t="shared" si="20"/>
        <v/>
      </c>
      <c r="H238" t="str">
        <f t="shared" si="21"/>
        <v/>
      </c>
      <c r="I238" t="str">
        <f t="shared" si="22"/>
        <v/>
      </c>
    </row>
    <row r="239" spans="7:12" x14ac:dyDescent="0.3">
      <c r="G239" t="str">
        <f t="shared" si="20"/>
        <v/>
      </c>
      <c r="H239" t="str">
        <f t="shared" si="21"/>
        <v/>
      </c>
      <c r="I239" t="str">
        <f t="shared" si="22"/>
        <v/>
      </c>
    </row>
    <row r="240" spans="7:12" x14ac:dyDescent="0.3">
      <c r="G240" t="str">
        <f t="shared" si="20"/>
        <v/>
      </c>
      <c r="H240" t="str">
        <f t="shared" si="21"/>
        <v/>
      </c>
      <c r="I240" t="str">
        <f t="shared" si="22"/>
        <v/>
      </c>
    </row>
    <row r="241" spans="7:9" x14ac:dyDescent="0.3">
      <c r="G241" t="str">
        <f t="shared" si="20"/>
        <v/>
      </c>
      <c r="H241" t="str">
        <f t="shared" si="21"/>
        <v/>
      </c>
      <c r="I241" t="str">
        <f t="shared" si="22"/>
        <v/>
      </c>
    </row>
    <row r="242" spans="7:9" x14ac:dyDescent="0.3">
      <c r="G242" t="str">
        <f t="shared" si="20"/>
        <v/>
      </c>
      <c r="H242" t="str">
        <f t="shared" si="21"/>
        <v/>
      </c>
      <c r="I242" t="str">
        <f t="shared" si="22"/>
        <v/>
      </c>
    </row>
    <row r="243" spans="7:9" x14ac:dyDescent="0.3">
      <c r="G243" t="str">
        <f t="shared" si="20"/>
        <v/>
      </c>
      <c r="H243" t="str">
        <f t="shared" si="21"/>
        <v/>
      </c>
      <c r="I243" t="str">
        <f t="shared" si="22"/>
        <v/>
      </c>
    </row>
    <row r="244" spans="7:9" x14ac:dyDescent="0.3">
      <c r="G244" t="str">
        <f t="shared" si="20"/>
        <v/>
      </c>
      <c r="H244" t="str">
        <f t="shared" si="21"/>
        <v/>
      </c>
      <c r="I244" t="str">
        <f t="shared" si="22"/>
        <v/>
      </c>
    </row>
    <row r="245" spans="7:9" x14ac:dyDescent="0.3">
      <c r="G245" t="str">
        <f t="shared" si="20"/>
        <v/>
      </c>
      <c r="H245" t="str">
        <f t="shared" si="21"/>
        <v/>
      </c>
      <c r="I245" t="str">
        <f t="shared" si="22"/>
        <v/>
      </c>
    </row>
    <row r="246" spans="7:9" x14ac:dyDescent="0.3">
      <c r="G246" t="str">
        <f t="shared" si="20"/>
        <v/>
      </c>
      <c r="H246" t="str">
        <f t="shared" si="21"/>
        <v/>
      </c>
      <c r="I246" t="str">
        <f t="shared" si="22"/>
        <v/>
      </c>
    </row>
    <row r="247" spans="7:9" x14ac:dyDescent="0.3">
      <c r="G247" t="str">
        <f t="shared" si="20"/>
        <v/>
      </c>
      <c r="H247" t="str">
        <f t="shared" si="21"/>
        <v/>
      </c>
      <c r="I247" t="str">
        <f t="shared" si="22"/>
        <v/>
      </c>
    </row>
    <row r="248" spans="7:9" x14ac:dyDescent="0.3">
      <c r="G248" t="str">
        <f t="shared" si="20"/>
        <v/>
      </c>
      <c r="H248" t="str">
        <f t="shared" si="21"/>
        <v/>
      </c>
      <c r="I248" t="str">
        <f t="shared" si="22"/>
        <v/>
      </c>
    </row>
    <row r="249" spans="7:9" x14ac:dyDescent="0.3">
      <c r="G249" t="str">
        <f t="shared" si="20"/>
        <v/>
      </c>
      <c r="H249" t="str">
        <f t="shared" si="21"/>
        <v/>
      </c>
      <c r="I249" t="str">
        <f t="shared" si="22"/>
        <v/>
      </c>
    </row>
    <row r="250" spans="7:9" x14ac:dyDescent="0.3">
      <c r="G250" t="str">
        <f t="shared" si="20"/>
        <v/>
      </c>
      <c r="H250" t="str">
        <f t="shared" si="21"/>
        <v/>
      </c>
      <c r="I250" t="str">
        <f t="shared" si="22"/>
        <v/>
      </c>
    </row>
    <row r="251" spans="7:9" x14ac:dyDescent="0.3">
      <c r="G251" t="str">
        <f t="shared" si="20"/>
        <v/>
      </c>
      <c r="H251" t="str">
        <f t="shared" si="21"/>
        <v/>
      </c>
      <c r="I251" t="str">
        <f t="shared" si="22"/>
        <v/>
      </c>
    </row>
    <row r="252" spans="7:9" x14ac:dyDescent="0.3">
      <c r="G252" t="str">
        <f t="shared" si="20"/>
        <v/>
      </c>
      <c r="H252" t="str">
        <f t="shared" si="21"/>
        <v/>
      </c>
      <c r="I252" t="str">
        <f t="shared" si="22"/>
        <v/>
      </c>
    </row>
    <row r="253" spans="7:9" x14ac:dyDescent="0.3">
      <c r="G253" t="str">
        <f t="shared" si="20"/>
        <v/>
      </c>
      <c r="H253" t="str">
        <f t="shared" si="21"/>
        <v/>
      </c>
      <c r="I253" t="str">
        <f t="shared" si="22"/>
        <v/>
      </c>
    </row>
    <row r="254" spans="7:9" x14ac:dyDescent="0.3">
      <c r="G254" t="str">
        <f t="shared" si="20"/>
        <v/>
      </c>
      <c r="H254" t="str">
        <f t="shared" si="21"/>
        <v/>
      </c>
      <c r="I254" t="str">
        <f t="shared" si="22"/>
        <v/>
      </c>
    </row>
    <row r="255" spans="7:9" x14ac:dyDescent="0.3">
      <c r="G255" t="str">
        <f t="shared" si="20"/>
        <v/>
      </c>
      <c r="H255" t="str">
        <f t="shared" si="21"/>
        <v/>
      </c>
      <c r="I255" t="str">
        <f t="shared" si="22"/>
        <v/>
      </c>
    </row>
    <row r="256" spans="7:9" x14ac:dyDescent="0.3">
      <c r="G256" t="str">
        <f t="shared" si="20"/>
        <v/>
      </c>
      <c r="H256" t="str">
        <f t="shared" si="21"/>
        <v/>
      </c>
      <c r="I256" t="str">
        <f t="shared" si="22"/>
        <v/>
      </c>
    </row>
    <row r="257" spans="7:9" x14ac:dyDescent="0.3">
      <c r="G257" t="str">
        <f t="shared" si="20"/>
        <v/>
      </c>
      <c r="H257" t="str">
        <f t="shared" si="21"/>
        <v/>
      </c>
      <c r="I257" t="str">
        <f t="shared" si="22"/>
        <v/>
      </c>
    </row>
    <row r="258" spans="7:9" x14ac:dyDescent="0.3">
      <c r="G258" t="str">
        <f t="shared" si="20"/>
        <v/>
      </c>
      <c r="H258" t="str">
        <f t="shared" si="21"/>
        <v/>
      </c>
      <c r="I258" t="str">
        <f t="shared" si="22"/>
        <v/>
      </c>
    </row>
    <row r="259" spans="7:9" x14ac:dyDescent="0.3">
      <c r="G259" t="str">
        <f t="shared" si="20"/>
        <v/>
      </c>
      <c r="H259" t="str">
        <f t="shared" si="21"/>
        <v/>
      </c>
      <c r="I259" t="str">
        <f t="shared" si="22"/>
        <v/>
      </c>
    </row>
    <row r="260" spans="7:9" x14ac:dyDescent="0.3">
      <c r="G260" t="str">
        <f t="shared" si="20"/>
        <v/>
      </c>
      <c r="H260" t="str">
        <f t="shared" si="21"/>
        <v/>
      </c>
      <c r="I260" t="str">
        <f t="shared" si="22"/>
        <v/>
      </c>
    </row>
    <row r="261" spans="7:9" x14ac:dyDescent="0.3">
      <c r="G261" t="str">
        <f t="shared" si="20"/>
        <v/>
      </c>
      <c r="H261" t="str">
        <f t="shared" si="21"/>
        <v/>
      </c>
      <c r="I261" t="str">
        <f t="shared" si="22"/>
        <v/>
      </c>
    </row>
    <row r="262" spans="7:9" x14ac:dyDescent="0.3">
      <c r="G262" t="str">
        <f t="shared" si="20"/>
        <v/>
      </c>
      <c r="H262" t="str">
        <f t="shared" si="21"/>
        <v/>
      </c>
      <c r="I262" t="str">
        <f t="shared" si="22"/>
        <v/>
      </c>
    </row>
    <row r="263" spans="7:9" x14ac:dyDescent="0.3">
      <c r="G263" t="str">
        <f t="shared" si="20"/>
        <v/>
      </c>
      <c r="H263" t="str">
        <f t="shared" si="21"/>
        <v/>
      </c>
      <c r="I263" t="str">
        <f t="shared" si="22"/>
        <v/>
      </c>
    </row>
    <row r="264" spans="7:9" x14ac:dyDescent="0.3">
      <c r="G264" t="str">
        <f t="shared" si="20"/>
        <v/>
      </c>
      <c r="H264" t="str">
        <f t="shared" si="21"/>
        <v/>
      </c>
      <c r="I264" t="str">
        <f t="shared" si="22"/>
        <v/>
      </c>
    </row>
    <row r="265" spans="7:9" x14ac:dyDescent="0.3">
      <c r="G265" t="str">
        <f t="shared" si="20"/>
        <v/>
      </c>
      <c r="H265" t="str">
        <f t="shared" si="21"/>
        <v/>
      </c>
      <c r="I265" t="str">
        <f t="shared" si="22"/>
        <v/>
      </c>
    </row>
    <row r="266" spans="7:9" x14ac:dyDescent="0.3">
      <c r="G266" t="str">
        <f t="shared" si="20"/>
        <v/>
      </c>
      <c r="H266" t="str">
        <f t="shared" si="21"/>
        <v/>
      </c>
      <c r="I266" t="str">
        <f t="shared" si="22"/>
        <v/>
      </c>
    </row>
    <row r="267" spans="7:9" x14ac:dyDescent="0.3">
      <c r="G267" t="str">
        <f t="shared" si="20"/>
        <v/>
      </c>
      <c r="H267" t="str">
        <f t="shared" si="21"/>
        <v/>
      </c>
      <c r="I267" t="str">
        <f t="shared" si="22"/>
        <v/>
      </c>
    </row>
    <row r="268" spans="7:9" x14ac:dyDescent="0.3">
      <c r="G268" t="str">
        <f t="shared" si="20"/>
        <v/>
      </c>
      <c r="H268" t="str">
        <f t="shared" si="21"/>
        <v/>
      </c>
      <c r="I268" t="str">
        <f t="shared" si="22"/>
        <v/>
      </c>
    </row>
    <row r="269" spans="7:9" x14ac:dyDescent="0.3">
      <c r="G269" t="str">
        <f t="shared" si="20"/>
        <v/>
      </c>
      <c r="H269" t="str">
        <f t="shared" si="21"/>
        <v/>
      </c>
      <c r="I269" t="str">
        <f t="shared" si="22"/>
        <v/>
      </c>
    </row>
    <row r="270" spans="7:9" x14ac:dyDescent="0.3">
      <c r="G270" t="str">
        <f t="shared" si="20"/>
        <v/>
      </c>
      <c r="H270" t="str">
        <f t="shared" si="21"/>
        <v/>
      </c>
      <c r="I270" t="str">
        <f t="shared" si="22"/>
        <v/>
      </c>
    </row>
    <row r="271" spans="7:9" x14ac:dyDescent="0.3">
      <c r="G271" t="str">
        <f t="shared" si="20"/>
        <v/>
      </c>
      <c r="H271" t="str">
        <f t="shared" si="21"/>
        <v/>
      </c>
      <c r="I271" t="str">
        <f t="shared" si="22"/>
        <v/>
      </c>
    </row>
    <row r="272" spans="7:9" x14ac:dyDescent="0.3">
      <c r="G272" t="str">
        <f t="shared" si="20"/>
        <v/>
      </c>
      <c r="H272" t="str">
        <f t="shared" si="21"/>
        <v/>
      </c>
      <c r="I272" t="str">
        <f t="shared" si="22"/>
        <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5E0BA-55E4-41C8-A485-AE8DA69178B4}">
  <dimension ref="A2:L21"/>
  <sheetViews>
    <sheetView showGridLines="0" workbookViewId="0">
      <selection activeCell="E5" sqref="E5"/>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8" max="8" width="13" customWidth="1"/>
  </cols>
  <sheetData>
    <row r="2" spans="1:12" x14ac:dyDescent="0.3">
      <c r="H2" t="s">
        <v>2520</v>
      </c>
    </row>
    <row r="3" spans="1:12" x14ac:dyDescent="0.3">
      <c r="A3" s="3" t="s">
        <v>2505</v>
      </c>
      <c r="B3" s="3" t="s">
        <v>2519</v>
      </c>
    </row>
    <row r="4" spans="1:12" x14ac:dyDescent="0.3">
      <c r="A4" s="3" t="s">
        <v>2517</v>
      </c>
      <c r="B4" t="s">
        <v>2515</v>
      </c>
      <c r="C4" t="s">
        <v>2514</v>
      </c>
      <c r="D4" t="s">
        <v>2516</v>
      </c>
      <c r="E4" t="s">
        <v>2513</v>
      </c>
      <c r="F4" t="s">
        <v>2518</v>
      </c>
    </row>
    <row r="5" spans="1:12" ht="20.399999999999999" customHeight="1" x14ac:dyDescent="0.3">
      <c r="A5" s="4" t="s">
        <v>18</v>
      </c>
      <c r="B5" s="5">
        <v>0.18961825201634841</v>
      </c>
      <c r="C5" s="5">
        <v>0.12262322351336576</v>
      </c>
      <c r="D5" s="5">
        <v>1.060537752469185E-2</v>
      </c>
      <c r="E5" s="5">
        <v>3.0599220547662797E-2</v>
      </c>
      <c r="F5" s="5">
        <v>0.35344607360206881</v>
      </c>
      <c r="H5" s="7"/>
      <c r="I5" s="8" t="s">
        <v>2521</v>
      </c>
      <c r="J5" s="8" t="s">
        <v>2522</v>
      </c>
      <c r="K5" s="8" t="s">
        <v>2523</v>
      </c>
      <c r="L5" s="9" t="s">
        <v>2524</v>
      </c>
    </row>
    <row r="6" spans="1:12" ht="19.2" customHeight="1" x14ac:dyDescent="0.3">
      <c r="A6" s="4" t="s">
        <v>51</v>
      </c>
      <c r="B6" s="5">
        <v>5.0283982091147303E-2</v>
      </c>
      <c r="C6" s="5">
        <v>4.3060781812819873E-2</v>
      </c>
      <c r="D6" s="5">
        <v>1.5320025675641944E-3</v>
      </c>
      <c r="E6" s="5">
        <v>1.7794988689097006E-2</v>
      </c>
      <c r="F6" s="5">
        <v>0.11267175516062837</v>
      </c>
      <c r="H6" s="10" t="str">
        <f t="shared" ref="H6:L10" si="0">A5</f>
        <v>App</v>
      </c>
      <c r="I6" s="11">
        <f t="shared" si="0"/>
        <v>0.18961825201634841</v>
      </c>
      <c r="J6" s="11">
        <f t="shared" si="0"/>
        <v>0.12262322351336576</v>
      </c>
      <c r="K6" s="11">
        <f t="shared" si="0"/>
        <v>1.060537752469185E-2</v>
      </c>
      <c r="L6" s="12">
        <f t="shared" si="0"/>
        <v>3.0599220547662797E-2</v>
      </c>
    </row>
    <row r="7" spans="1:12" ht="20.399999999999999" customHeight="1" x14ac:dyDescent="0.3">
      <c r="A7" s="4" t="s">
        <v>70</v>
      </c>
      <c r="B7" s="5">
        <v>6.3496059750411282E-2</v>
      </c>
      <c r="C7" s="5">
        <v>4.6071629863988765E-2</v>
      </c>
      <c r="D7" s="5">
        <v>2.306247051322625E-3</v>
      </c>
      <c r="E7" s="5">
        <v>3.8927934093844286E-3</v>
      </c>
      <c r="F7" s="5">
        <v>0.11576673007510711</v>
      </c>
      <c r="H7" s="10" t="str">
        <f t="shared" si="0"/>
        <v>Instagram</v>
      </c>
      <c r="I7" s="11">
        <f t="shared" si="0"/>
        <v>5.0283982091147303E-2</v>
      </c>
      <c r="J7" s="11">
        <f t="shared" si="0"/>
        <v>4.3060781812819873E-2</v>
      </c>
      <c r="K7" s="11">
        <f t="shared" si="0"/>
        <v>1.5320025675641944E-3</v>
      </c>
      <c r="L7" s="12">
        <f t="shared" si="0"/>
        <v>1.7794988689097006E-2</v>
      </c>
    </row>
    <row r="8" spans="1:12" ht="19.8" customHeight="1" x14ac:dyDescent="0.3">
      <c r="A8" s="4" t="s">
        <v>40</v>
      </c>
      <c r="B8" s="5">
        <v>9.6337892927149532E-2</v>
      </c>
      <c r="C8" s="5">
        <v>6.7920115842382611E-2</v>
      </c>
      <c r="D8" s="5">
        <v>5.4979832664581261E-3</v>
      </c>
      <c r="E8" s="5">
        <v>1.2933041488102518E-2</v>
      </c>
      <c r="F8" s="5">
        <v>0.1826890335240928</v>
      </c>
      <c r="H8" s="10" t="str">
        <f t="shared" si="0"/>
        <v>Partner App</v>
      </c>
      <c r="I8" s="11">
        <f t="shared" si="0"/>
        <v>6.3496059750411282E-2</v>
      </c>
      <c r="J8" s="11">
        <f t="shared" si="0"/>
        <v>4.6071629863988765E-2</v>
      </c>
      <c r="K8" s="11">
        <f t="shared" si="0"/>
        <v>2.306247051322625E-3</v>
      </c>
      <c r="L8" s="12">
        <f>E7</f>
        <v>3.8927934093844286E-3</v>
      </c>
    </row>
    <row r="9" spans="1:12" ht="18" customHeight="1" x14ac:dyDescent="0.3">
      <c r="A9" s="4" t="s">
        <v>35</v>
      </c>
      <c r="B9" s="5">
        <v>0.12522098709469262</v>
      </c>
      <c r="C9" s="5">
        <v>9.1492740283116228E-2</v>
      </c>
      <c r="D9" s="5">
        <v>6.3042760790965081E-3</v>
      </c>
      <c r="E9" s="5">
        <v>1.2408404181197551E-2</v>
      </c>
      <c r="F9" s="5">
        <v>0.23542640763810288</v>
      </c>
      <c r="H9" s="10" t="str">
        <f t="shared" si="0"/>
        <v>Target.com</v>
      </c>
      <c r="I9" s="11">
        <f t="shared" si="0"/>
        <v>9.6337892927149532E-2</v>
      </c>
      <c r="J9" s="11">
        <f t="shared" si="0"/>
        <v>6.7920115842382611E-2</v>
      </c>
      <c r="K9" s="11">
        <f t="shared" si="0"/>
        <v>5.4979832664581261E-3</v>
      </c>
      <c r="L9" s="12">
        <f t="shared" si="0"/>
        <v>1.2933041488102518E-2</v>
      </c>
    </row>
    <row r="10" spans="1:12" ht="16.2" customHeight="1" x14ac:dyDescent="0.3">
      <c r="A10" s="4" t="s">
        <v>2518</v>
      </c>
      <c r="B10" s="5">
        <v>0.52495717387974916</v>
      </c>
      <c r="C10" s="5">
        <v>0.3711684913156732</v>
      </c>
      <c r="D10" s="5">
        <v>2.6245886489133303E-2</v>
      </c>
      <c r="E10" s="5">
        <v>7.7628448315444312E-2</v>
      </c>
      <c r="F10" s="5">
        <v>1</v>
      </c>
      <c r="H10" s="13" t="str">
        <f t="shared" si="0"/>
        <v>Website</v>
      </c>
      <c r="I10" s="14">
        <f t="shared" si="0"/>
        <v>0.12522098709469262</v>
      </c>
      <c r="J10" s="14">
        <f t="shared" si="0"/>
        <v>9.1492740283116228E-2</v>
      </c>
      <c r="K10" s="14">
        <f t="shared" si="0"/>
        <v>6.3042760790965081E-3</v>
      </c>
      <c r="L10" s="15">
        <f t="shared" si="0"/>
        <v>1.2408404181197551E-2</v>
      </c>
    </row>
    <row r="17" spans="7:11" x14ac:dyDescent="0.3">
      <c r="G17" s="5"/>
      <c r="H17" s="5"/>
      <c r="I17" s="5"/>
      <c r="J17" s="5"/>
      <c r="K17" s="5"/>
    </row>
    <row r="18" spans="7:11" x14ac:dyDescent="0.3">
      <c r="G18" s="5"/>
      <c r="H18" s="5"/>
      <c r="I18" s="5"/>
      <c r="J18" s="5"/>
      <c r="K18" s="5"/>
    </row>
    <row r="19" spans="7:11" x14ac:dyDescent="0.3">
      <c r="G19" s="5"/>
      <c r="H19" s="5"/>
      <c r="I19" s="5"/>
      <c r="J19" s="5"/>
      <c r="K19" s="5"/>
    </row>
    <row r="20" spans="7:11" x14ac:dyDescent="0.3">
      <c r="G20" s="5"/>
      <c r="H20" s="5"/>
      <c r="I20" s="5"/>
      <c r="J20" s="5"/>
      <c r="K20" s="5"/>
    </row>
    <row r="21" spans="7:11" x14ac:dyDescent="0.3">
      <c r="G21" s="5"/>
      <c r="H21" s="5"/>
      <c r="I21" s="5"/>
      <c r="J21" s="5"/>
      <c r="K21" s="5"/>
    </row>
  </sheetData>
  <conditionalFormatting sqref="I6:L10">
    <cfRule type="colorScale" priority="1">
      <colorScale>
        <cfvo type="min"/>
        <cfvo type="percentile" val="50"/>
        <cfvo type="max"/>
        <color rgb="FFF8696B"/>
        <color rgb="FFFCFCFF"/>
        <color rgb="FF5A8AC6"/>
      </colorScale>
    </cfRule>
  </conditionalFormatting>
  <conditionalFormatting sqref="I6:L11">
    <cfRule type="colorScale" priority="2">
      <colorScale>
        <cfvo type="min"/>
        <cfvo type="max"/>
        <color rgb="FF63BE7B"/>
        <color rgb="FFFCFCFF"/>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357CA-933C-4F15-8646-E430D41D0563}">
  <dimension ref="A2:I14"/>
  <sheetViews>
    <sheetView workbookViewId="0">
      <selection activeCell="AD13" sqref="AD13"/>
    </sheetView>
  </sheetViews>
  <sheetFormatPr defaultRowHeight="14.4" x14ac:dyDescent="0.3"/>
  <cols>
    <col min="1" max="1" width="12.44140625" bestFit="1" customWidth="1"/>
    <col min="2" max="2" width="12.21875" bestFit="1" customWidth="1"/>
    <col min="4" max="4" width="12.44140625" bestFit="1" customWidth="1"/>
    <col min="5" max="5" width="15.5546875" bestFit="1" customWidth="1"/>
    <col min="6" max="8" width="3" bestFit="1" customWidth="1"/>
    <col min="9" max="10" width="10.5546875" bestFit="1" customWidth="1"/>
  </cols>
  <sheetData>
    <row r="2" spans="1:9" x14ac:dyDescent="0.3">
      <c r="A2" t="s">
        <v>2533</v>
      </c>
      <c r="D2" t="s">
        <v>2534</v>
      </c>
    </row>
    <row r="3" spans="1:9" x14ac:dyDescent="0.3">
      <c r="A3" s="3" t="s">
        <v>2517</v>
      </c>
      <c r="B3" t="s">
        <v>2506</v>
      </c>
      <c r="D3" s="3" t="s">
        <v>2506</v>
      </c>
      <c r="E3" s="3" t="s">
        <v>2519</v>
      </c>
    </row>
    <row r="4" spans="1:9" x14ac:dyDescent="0.3">
      <c r="A4" s="4">
        <v>0</v>
      </c>
      <c r="B4" s="17">
        <v>8</v>
      </c>
      <c r="D4" s="3" t="s">
        <v>2517</v>
      </c>
      <c r="E4">
        <v>2</v>
      </c>
      <c r="F4">
        <v>3</v>
      </c>
      <c r="G4">
        <v>4</v>
      </c>
      <c r="H4">
        <v>5</v>
      </c>
      <c r="I4" t="s">
        <v>2518</v>
      </c>
    </row>
    <row r="5" spans="1:9" x14ac:dyDescent="0.3">
      <c r="A5" s="4">
        <v>1</v>
      </c>
      <c r="B5" s="17">
        <v>46</v>
      </c>
      <c r="D5" s="4" t="s">
        <v>2535</v>
      </c>
      <c r="E5" s="17">
        <v>3</v>
      </c>
      <c r="F5" s="17">
        <v>16</v>
      </c>
      <c r="G5" s="17">
        <v>19</v>
      </c>
      <c r="H5" s="17">
        <v>7</v>
      </c>
      <c r="I5" s="17">
        <v>45</v>
      </c>
    </row>
    <row r="6" spans="1:9" x14ac:dyDescent="0.3">
      <c r="A6" s="4">
        <v>2</v>
      </c>
      <c r="B6" s="17">
        <v>33</v>
      </c>
      <c r="D6" s="4" t="s">
        <v>2536</v>
      </c>
      <c r="E6" s="17">
        <v>3</v>
      </c>
      <c r="F6" s="17">
        <v>9</v>
      </c>
      <c r="G6" s="17">
        <v>18</v>
      </c>
      <c r="H6" s="17">
        <v>12</v>
      </c>
      <c r="I6" s="17">
        <v>42</v>
      </c>
    </row>
    <row r="7" spans="1:9" x14ac:dyDescent="0.3">
      <c r="A7" s="4">
        <v>3</v>
      </c>
      <c r="B7" s="17">
        <v>28</v>
      </c>
      <c r="D7" s="4" t="s">
        <v>2537</v>
      </c>
      <c r="E7" s="17">
        <v>2</v>
      </c>
      <c r="F7" s="17">
        <v>7</v>
      </c>
      <c r="G7" s="17">
        <v>28</v>
      </c>
      <c r="H7" s="17">
        <v>15</v>
      </c>
      <c r="I7" s="17">
        <v>52</v>
      </c>
    </row>
    <row r="8" spans="1:9" x14ac:dyDescent="0.3">
      <c r="A8" s="4">
        <v>4</v>
      </c>
      <c r="B8" s="17">
        <v>13</v>
      </c>
      <c r="D8" s="4" t="s">
        <v>2518</v>
      </c>
      <c r="E8" s="17">
        <v>8</v>
      </c>
      <c r="F8" s="17">
        <v>32</v>
      </c>
      <c r="G8" s="17">
        <v>65</v>
      </c>
      <c r="H8" s="17">
        <v>34</v>
      </c>
      <c r="I8" s="17">
        <v>139</v>
      </c>
    </row>
    <row r="9" spans="1:9" x14ac:dyDescent="0.3">
      <c r="A9" s="4">
        <v>5</v>
      </c>
      <c r="B9" s="17">
        <v>6</v>
      </c>
    </row>
    <row r="10" spans="1:9" x14ac:dyDescent="0.3">
      <c r="A10" s="4">
        <v>6</v>
      </c>
      <c r="B10" s="17">
        <v>2</v>
      </c>
    </row>
    <row r="11" spans="1:9" x14ac:dyDescent="0.3">
      <c r="A11" s="4">
        <v>8</v>
      </c>
      <c r="B11" s="17">
        <v>1</v>
      </c>
    </row>
    <row r="12" spans="1:9" x14ac:dyDescent="0.3">
      <c r="A12" s="4">
        <v>9</v>
      </c>
      <c r="B12" s="17">
        <v>1</v>
      </c>
    </row>
    <row r="13" spans="1:9" x14ac:dyDescent="0.3">
      <c r="A13" s="4">
        <v>11</v>
      </c>
      <c r="B13" s="17">
        <v>1</v>
      </c>
    </row>
    <row r="14" spans="1:9" x14ac:dyDescent="0.3">
      <c r="A14" s="4" t="s">
        <v>2518</v>
      </c>
      <c r="B14" s="17">
        <v>139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93" workbookViewId="0">
      <selection activeCell="F10" sqref="F10"/>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pivots1</vt:lpstr>
      <vt:lpstr>pivots2</vt:lpstr>
      <vt:lpstr>pivots3</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KUDIPUDI RAJASRI</cp:lastModifiedBy>
  <dcterms:created xsi:type="dcterms:W3CDTF">2025-06-13T02:42:26Z</dcterms:created>
  <dcterms:modified xsi:type="dcterms:W3CDTF">2026-08-02T10:52:27Z</dcterms:modified>
</cp:coreProperties>
</file>